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40" yWindow="2140" windowWidth="34560" windowHeight="20360" tabRatio="500" firstSheet="0" activeTab="1" autoFilterDateGrouping="1"/>
  </bookViews>
  <sheets>
    <sheet xmlns:r="http://schemas.openxmlformats.org/officeDocument/2006/relationships" name="Enterprise Pricing" sheetId="1" state="visible" r:id="rId1"/>
    <sheet xmlns:r="http://schemas.openxmlformats.org/officeDocument/2006/relationships" name="Token Holder Pricing" sheetId="2" state="visible" r:id="rId2"/>
    <sheet xmlns:r="http://schemas.openxmlformats.org/officeDocument/2006/relationships" name="Revenue &amp; Pricing Model" sheetId="3" state="visible" r:id="rId3"/>
  </sheets>
  <definedNames/>
  <calcPr calcId="181029" fullCalcOnLoad="1" iterateDelta="0.0001"/>
</workbook>
</file>

<file path=xl/styles.xml><?xml version="1.0" encoding="utf-8"?>
<styleSheet xmlns="http://schemas.openxmlformats.org/spreadsheetml/2006/main">
  <numFmts count="18">
    <numFmt numFmtId="164" formatCode="#,##0;\(#,##0\);\-"/>
    <numFmt numFmtId="165" formatCode="0.0%"/>
    <numFmt numFmtId="166" formatCode="\$#,##0.000000"/>
    <numFmt numFmtId="167" formatCode="\$#,##0"/>
    <numFmt numFmtId="168" formatCode="\$#,##0.00"/>
    <numFmt numFmtId="169" formatCode="0.000%"/>
    <numFmt numFmtId="170" formatCode="\$#,##0;&quot;($&quot;#,##0\);\-"/>
    <numFmt numFmtId="171" formatCode="\$#,##0.00;&quot;($&quot;#,##0.00\);\-"/>
    <numFmt numFmtId="172" formatCode="\+\$#,##0"/>
    <numFmt numFmtId="173" formatCode="\$#,##0&quot;/mo&quot;"/>
    <numFmt numFmtId="174" formatCode="$#,##0.00"/>
    <numFmt numFmtId="175" formatCode="$#,##0"/>
    <numFmt numFmtId="176" formatCode="#,##0.0"/>
    <numFmt numFmtId="177" formatCode="0.0000%"/>
    <numFmt numFmtId="178" formatCode="0.0"/>
    <numFmt numFmtId="179" formatCode="0.0&quot;×&quot;"/>
    <numFmt numFmtId="180" formatCode="$#,##0.000"/>
    <numFmt numFmtId="181" formatCode="0.000"/>
  </numFmts>
  <fonts count="72">
    <font>
      <name val="Calibri"/>
      <charset val="1"/>
      <color theme="1"/>
      <sz val="11"/>
    </font>
    <font>
      <name val="Arial"/>
      <charset val="1"/>
      <family val="2"/>
      <b val="1"/>
      <color rgb="FFFFFFFF"/>
      <sz val="13"/>
    </font>
    <font>
      <name val="Arial"/>
      <charset val="1"/>
      <i val="1"/>
      <color rgb="FF0D2137"/>
      <sz val="9"/>
    </font>
    <font>
      <name val="Arial"/>
      <charset val="1"/>
      <b val="1"/>
      <color rgb="FFFFFFFF"/>
      <sz val="11"/>
    </font>
    <font>
      <name val="Arial"/>
      <charset val="1"/>
      <b val="1"/>
      <color rgb="FFFFFFFF"/>
      <sz val="9"/>
    </font>
    <font>
      <name val="Arial"/>
      <charset val="1"/>
      <color theme="1"/>
      <sz val="9"/>
    </font>
    <font>
      <name val="Arial"/>
      <charset val="1"/>
      <color rgb="FF1A3C5E"/>
      <sz val="9"/>
    </font>
    <font>
      <name val="Arial"/>
      <charset val="1"/>
      <b val="1"/>
      <color rgb="FF1A5C1A"/>
      <sz val="9"/>
    </font>
    <font>
      <name val="Arial"/>
      <charset val="1"/>
      <b val="1"/>
      <color rgb="FF2E4057"/>
      <sz val="9"/>
    </font>
    <font>
      <name val="Arial"/>
      <charset val="1"/>
      <b val="1"/>
      <color rgb="FF1A3C5E"/>
      <sz val="9"/>
    </font>
    <font>
      <name val="Arial"/>
      <charset val="1"/>
      <b val="1"/>
      <color rgb="FF7B2D00"/>
      <sz val="9"/>
    </font>
    <font>
      <name val="Arial"/>
      <charset val="1"/>
      <b val="1"/>
      <color rgb="FFFFFFFF"/>
      <sz val="10"/>
    </font>
    <font>
      <name val="Arial"/>
      <charset val="1"/>
      <b val="1"/>
      <color theme="1"/>
      <sz val="11"/>
    </font>
    <font>
      <name val="Arial"/>
      <charset val="1"/>
      <b val="1"/>
      <color rgb="FF1A3C5E"/>
      <sz val="11"/>
    </font>
    <font>
      <name val="Arial"/>
      <charset val="1"/>
      <b val="1"/>
      <color rgb="FF1A5C1A"/>
      <sz val="11"/>
    </font>
    <font>
      <name val="Arial"/>
      <charset val="1"/>
      <b val="1"/>
      <color rgb="FF7B2D00"/>
      <sz val="11"/>
    </font>
    <font>
      <name val="Arial"/>
      <charset val="1"/>
      <color rgb="FF5C3D00"/>
      <sz val="9"/>
    </font>
    <font>
      <name val="Arial"/>
      <charset val="1"/>
      <b val="1"/>
      <color rgb="FF5C3D00"/>
      <sz val="10"/>
    </font>
    <font>
      <name val="Arial"/>
      <charset val="1"/>
      <family val="2"/>
      <b val="1"/>
      <color rgb="FF1A5C1A"/>
      <sz val="11"/>
    </font>
    <font>
      <name val="Arial"/>
      <charset val="1"/>
      <b val="1"/>
      <color rgb="FF1A5C1A"/>
      <sz val="13"/>
    </font>
    <font>
      <name val="Arial"/>
      <charset val="1"/>
      <b val="1"/>
      <color rgb="FF7B2D00"/>
      <sz val="13"/>
    </font>
    <font>
      <name val="Arial"/>
      <charset val="1"/>
      <b val="1"/>
      <color rgb="FF1A3C5E"/>
      <sz val="10"/>
    </font>
    <font>
      <name val="Arial"/>
      <charset val="1"/>
      <b val="1"/>
      <color rgb="FFFFFFFF"/>
      <sz val="13"/>
    </font>
    <font>
      <name val="Arial"/>
      <charset val="1"/>
      <b val="1"/>
      <color rgb="FFFFFFFF"/>
      <sz val="12"/>
    </font>
    <font>
      <name val="Arial"/>
      <charset val="1"/>
      <i val="1"/>
      <color rgb="FF666666"/>
      <sz val="9"/>
    </font>
    <font>
      <name val="Arial"/>
      <charset val="1"/>
      <b val="1"/>
      <color rgb="FFE0E0E0"/>
      <sz val="11"/>
    </font>
    <font>
      <name val="Arial"/>
      <charset val="1"/>
      <color rgb="FF333333"/>
      <sz val="10"/>
    </font>
    <font>
      <name val="Arial"/>
      <charset val="1"/>
      <color rgb="FF0000FF"/>
      <sz val="10"/>
    </font>
    <font>
      <name val="Arial"/>
      <charset val="1"/>
      <color rgb="FF000000"/>
      <sz val="10"/>
    </font>
    <font>
      <name val="Arial"/>
      <charset val="1"/>
      <b val="1"/>
      <color rgb="FF333333"/>
      <sz val="10"/>
    </font>
    <font>
      <name val="Arial"/>
      <charset val="1"/>
      <b val="1"/>
      <color rgb="FF8B4513"/>
      <sz val="10"/>
    </font>
    <font>
      <name val="Arial"/>
      <charset val="1"/>
      <b val="1"/>
      <color rgb="FF708090"/>
      <sz val="10"/>
    </font>
    <font>
      <name val="Arial"/>
      <charset val="1"/>
      <b val="1"/>
      <color rgb="FFDAA520"/>
      <sz val="10"/>
    </font>
    <font>
      <name val="Arial"/>
      <charset val="1"/>
      <b val="1"/>
      <color rgb="FF660099"/>
      <sz val="10"/>
    </font>
    <font>
      <name val="Arial"/>
      <charset val="1"/>
      <b val="1"/>
      <sz val="10"/>
    </font>
    <font>
      <name val="Arial"/>
      <charset val="1"/>
      <b val="1"/>
      <sz val="11"/>
    </font>
    <font>
      <name val="Arial"/>
      <charset val="1"/>
      <b val="1"/>
      <color rgb="FF006600"/>
      <sz val="10"/>
    </font>
    <font>
      <name val="Arial"/>
      <charset val="1"/>
      <b val="1"/>
      <color rgb="FF996600"/>
      <sz val="10"/>
    </font>
    <font>
      <name val="Arial"/>
      <charset val="1"/>
      <b val="1"/>
      <color rgb="FFCC0000"/>
      <sz val="10"/>
    </font>
    <font>
      <name val="Arial"/>
      <charset val="1"/>
      <b val="1"/>
      <color rgb="FF006600"/>
      <sz val="11"/>
    </font>
    <font>
      <name val="Arial"/>
      <charset val="1"/>
      <b val="1"/>
      <color rgb="FF1A1A2E"/>
      <sz val="11"/>
    </font>
    <font>
      <name val="Calibri"/>
      <family val="2"/>
      <color theme="1"/>
      <sz val="11"/>
    </font>
    <font>
      <name val="Calibri"/>
      <b val="1"/>
      <color rgb="FFE0E0E0"/>
      <sz val="11"/>
    </font>
    <font>
      <name val="Calibri"/>
      <i val="1"/>
      <color rgb="FF666666"/>
      <sz val="9"/>
    </font>
    <font>
      <name val="Calibri"/>
      <b val="1"/>
      <sz val="11"/>
    </font>
    <font>
      <name val="Calibri"/>
      <color rgb="FF0000FF"/>
      <sz val="11"/>
    </font>
    <font>
      <name val="Calibri"/>
      <b val="1"/>
      <sz val="10"/>
    </font>
    <font>
      <name val="Calibri"/>
      <color rgb="FF000000"/>
      <sz val="11"/>
    </font>
    <font>
      <name val="Calibri"/>
      <b val="1"/>
      <color rgb="FF006600"/>
      <sz val="11"/>
    </font>
    <font>
      <name val="Calibri"/>
      <b val="1"/>
      <color rgb="FFCC6600"/>
      <sz val="11"/>
    </font>
    <font>
      <name val="Calibri"/>
      <b val="1"/>
      <color rgb="FFCC0000"/>
      <sz val="11"/>
    </font>
    <font>
      <name val="Calibri"/>
      <color rgb="FFCCCCCC"/>
      <sz val="11"/>
    </font>
    <font>
      <name val="Calibri"/>
      <family val="2"/>
      <b val="1"/>
      <color rgb="FF006600"/>
      <sz val="11"/>
    </font>
    <font>
      <b val="1"/>
      <color rgb="FFE0E0E0"/>
      <sz val="11"/>
    </font>
    <font>
      <color rgb="FF666666"/>
      <sz val="9"/>
    </font>
    <font>
      <b val="1"/>
      <sz val="10"/>
    </font>
    <font>
      <b val="1"/>
      <sz val="11"/>
    </font>
    <font>
      <sz val="11"/>
    </font>
    <font>
      <color rgb="FF0000FF"/>
      <sz val="11"/>
    </font>
    <font>
      <color rgb="FFCCCCCC"/>
      <sz val="11"/>
    </font>
    <font>
      <b val="1"/>
      <color rgb="FFCC0000"/>
      <sz val="9"/>
    </font>
    <font>
      <b val="1"/>
      <color rgb="FF006600"/>
      <sz val="11"/>
    </font>
    <font>
      <b val="1"/>
      <color rgb="FFCC6600"/>
      <sz val="11"/>
    </font>
    <font>
      <name val="Arial"/>
      <b val="1"/>
      <color rgb="00E0E0E0"/>
      <sz val="11"/>
    </font>
    <font>
      <name val="Arial"/>
      <i val="1"/>
      <color rgb="00666666"/>
      <sz val="9"/>
    </font>
    <font>
      <name val="Arial"/>
      <b val="1"/>
      <color rgb="00333333"/>
      <sz val="10"/>
    </font>
    <font>
      <name val="Arial"/>
      <b val="1"/>
      <sz val="10"/>
    </font>
    <font>
      <name val="Arial"/>
      <color rgb="00333333"/>
      <sz val="10"/>
    </font>
    <font>
      <name val="Arial"/>
      <b val="1"/>
      <color rgb="000000FF"/>
      <sz val="10"/>
    </font>
    <font>
      <name val="Arial"/>
      <b val="1"/>
      <color rgb="00006600"/>
      <sz val="10"/>
    </font>
    <font>
      <name val="Arial"/>
      <color rgb="000000FF"/>
      <sz val="10"/>
    </font>
    <font>
      <name val="Arial"/>
      <b val="1"/>
      <color rgb="001A1A2E"/>
      <sz val="11"/>
    </font>
  </fonts>
  <fills count="26">
    <fill>
      <patternFill/>
    </fill>
    <fill>
      <patternFill patternType="gray125"/>
    </fill>
    <fill>
      <patternFill patternType="solid">
        <fgColor rgb="FF0D2137"/>
        <bgColor rgb="FF1A1A2E"/>
      </patternFill>
    </fill>
    <fill>
      <patternFill patternType="solid">
        <fgColor rgb="FFD6E4F0"/>
        <bgColor rgb="FFE0E0E0"/>
      </patternFill>
    </fill>
    <fill>
      <patternFill patternType="solid">
        <fgColor rgb="FF4472C4"/>
        <bgColor rgb="FF708090"/>
      </patternFill>
    </fill>
    <fill>
      <patternFill patternType="solid">
        <fgColor rgb="FF1A6B1A"/>
        <bgColor rgb="FF1A7A1A"/>
      </patternFill>
    </fill>
    <fill>
      <patternFill patternType="solid">
        <fgColor rgb="FFC55A11"/>
        <bgColor rgb="FF996600"/>
      </patternFill>
    </fill>
    <fill>
      <patternFill patternType="solid">
        <fgColor rgb="FF2E4057"/>
        <bgColor rgb="FF1A3C5E"/>
      </patternFill>
    </fill>
    <fill>
      <patternFill patternType="solid">
        <fgColor rgb="FFEBF0FA"/>
        <bgColor rgb="FFEBF5FF"/>
      </patternFill>
    </fill>
    <fill>
      <patternFill patternType="solid">
        <fgColor rgb="FFEBF5EB"/>
        <bgColor rgb="FFEBF0FA"/>
      </patternFill>
    </fill>
    <fill>
      <patternFill patternType="solid">
        <fgColor rgb="FFFEF0E7"/>
        <bgColor rgb="FFFFF8E1"/>
      </patternFill>
    </fill>
    <fill>
      <patternFill patternType="solid">
        <fgColor rgb="FFC8E6C9"/>
        <bgColor rgb="FFD6E4F0"/>
      </patternFill>
    </fill>
    <fill>
      <patternFill patternType="solid">
        <fgColor rgb="FF1A3C5E"/>
        <bgColor rgb="FF2E4057"/>
      </patternFill>
    </fill>
    <fill>
      <patternFill patternType="solid">
        <fgColor rgb="FF7F5A00"/>
        <bgColor rgb="FF996600"/>
      </patternFill>
    </fill>
    <fill>
      <patternFill patternType="solid">
        <fgColor rgb="FFFFF8E1"/>
        <bgColor rgb="FFFEF0E7"/>
      </patternFill>
    </fill>
    <fill>
      <patternFill patternType="solid">
        <fgColor rgb="FFFFE082"/>
        <bgColor rgb="FFFFFFCC"/>
      </patternFill>
    </fill>
    <fill>
      <patternFill patternType="solid">
        <fgColor rgb="FF1A7A1A"/>
        <bgColor rgb="FF1A6B1A"/>
      </patternFill>
    </fill>
    <fill>
      <patternFill patternType="solid">
        <fgColor rgb="FFEBF5FF"/>
        <bgColor rgb="FFEBF0FA"/>
      </patternFill>
    </fill>
    <fill>
      <patternFill patternType="solid">
        <fgColor rgb="FF1A1A2E"/>
        <bgColor rgb="FF0D2137"/>
      </patternFill>
    </fill>
    <fill>
      <patternFill patternType="solid">
        <fgColor rgb="FF2D2D44"/>
        <bgColor rgb="FF333333"/>
      </patternFill>
    </fill>
    <fill>
      <patternFill patternType="solid">
        <fgColor rgb="FFFFFFCC"/>
        <bgColor rgb="FFFFF8E1"/>
      </patternFill>
    </fill>
    <fill>
      <patternFill patternType="solid">
        <fgColor rgb="FF2D2D44"/>
      </patternFill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002D2D44"/>
        <bgColor rgb="002D2D44"/>
      </patternFill>
    </fill>
    <fill>
      <patternFill patternType="solid">
        <fgColor rgb="00FFFFCC"/>
        <bgColor rgb="00FFFFCC"/>
      </patternFill>
    </fill>
  </fills>
  <borders count="10">
    <border>
      <left/>
      <right/>
      <top/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/>
      <right/>
      <top style="thin">
        <color rgb="FFBBBBBB"/>
      </top>
      <bottom/>
      <diagonal/>
    </border>
    <border>
      <left style="thin">
        <color rgb="FFBBBBBB"/>
      </left>
      <right/>
      <top/>
      <bottom/>
      <diagonal/>
    </border>
    <border>
      <left style="thin">
        <color rgb="FFBBBBBB"/>
      </left>
      <right style="thin">
        <color rgb="FFBBBBBB"/>
      </right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75">
    <xf numFmtId="0" fontId="0" fillId="0" borderId="0" pivotButton="0" quotePrefix="0" xfId="0"/>
    <xf numFmtId="0" fontId="4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/>
    </xf>
    <xf numFmtId="164" fontId="6" fillId="8" borderId="2" applyAlignment="1" pivotButton="0" quotePrefix="0" xfId="0">
      <alignment horizontal="right" vertical="center"/>
    </xf>
    <xf numFmtId="164" fontId="7" fillId="9" borderId="2" applyAlignment="1" pivotButton="0" quotePrefix="0" xfId="0">
      <alignment horizontal="right" vertical="center"/>
    </xf>
    <xf numFmtId="0" fontId="0" fillId="10" borderId="2" pivotButton="0" quotePrefix="0" xfId="0"/>
    <xf numFmtId="0" fontId="8" fillId="3" borderId="2" applyAlignment="1" pivotButton="0" quotePrefix="0" xfId="0">
      <alignment horizontal="left" vertical="center"/>
    </xf>
    <xf numFmtId="164" fontId="9" fillId="3" borderId="2" applyAlignment="1" pivotButton="0" quotePrefix="0" xfId="0">
      <alignment horizontal="right" vertical="center"/>
    </xf>
    <xf numFmtId="164" fontId="7" fillId="11" borderId="2" applyAlignment="1" pivotButton="0" quotePrefix="0" xfId="0">
      <alignment horizontal="right" vertical="center"/>
    </xf>
    <xf numFmtId="164" fontId="10" fillId="10" borderId="2" applyAlignment="1" pivotButton="0" quotePrefix="0" xfId="0">
      <alignment horizontal="right" vertical="center"/>
    </xf>
    <xf numFmtId="0" fontId="12" fillId="3" borderId="2" applyAlignment="1" pivotButton="0" quotePrefix="0" xfId="0">
      <alignment horizontal="left" vertical="center"/>
    </xf>
    <xf numFmtId="164" fontId="13" fillId="3" borderId="2" applyAlignment="1" pivotButton="0" quotePrefix="0" xfId="0">
      <alignment horizontal="right" vertical="center"/>
    </xf>
    <xf numFmtId="164" fontId="14" fillId="11" borderId="2" applyAlignment="1" pivotButton="0" quotePrefix="0" xfId="0">
      <alignment horizontal="right" vertical="center"/>
    </xf>
    <xf numFmtId="164" fontId="15" fillId="10" borderId="2" applyAlignment="1" pivotButton="0" quotePrefix="0" xfId="0">
      <alignment horizontal="right" vertical="center"/>
    </xf>
    <xf numFmtId="0" fontId="5" fillId="14" borderId="2" applyAlignment="1" pivotButton="0" quotePrefix="0" xfId="0">
      <alignment horizontal="left" vertical="center"/>
    </xf>
    <xf numFmtId="164" fontId="16" fillId="14" borderId="2" applyAlignment="1" pivotButton="0" quotePrefix="0" xfId="0">
      <alignment horizontal="right" vertical="center"/>
    </xf>
    <xf numFmtId="0" fontId="17" fillId="15" borderId="2" applyAlignment="1" pivotButton="0" quotePrefix="0" xfId="0">
      <alignment horizontal="left" vertical="center"/>
    </xf>
    <xf numFmtId="164" fontId="17" fillId="15" borderId="2" applyAlignment="1" pivotButton="0" quotePrefix="0" xfId="0">
      <alignment horizontal="right" vertical="center"/>
    </xf>
    <xf numFmtId="0" fontId="18" fillId="11" borderId="2" applyAlignment="1" pivotButton="0" quotePrefix="0" xfId="0">
      <alignment horizontal="left" vertical="center"/>
    </xf>
    <xf numFmtId="0" fontId="0" fillId="11" borderId="2" pivotButton="0" quotePrefix="0" xfId="0"/>
    <xf numFmtId="164" fontId="19" fillId="11" borderId="2" applyAlignment="1" pivotButton="0" quotePrefix="0" xfId="0">
      <alignment horizontal="right" vertical="center"/>
    </xf>
    <xf numFmtId="0" fontId="15" fillId="10" borderId="2" applyAlignment="1" pivotButton="0" quotePrefix="0" xfId="0">
      <alignment horizontal="left" vertical="center"/>
    </xf>
    <xf numFmtId="164" fontId="20" fillId="10" borderId="2" applyAlignment="1" pivotButton="0" quotePrefix="0" xfId="0">
      <alignment horizontal="right" vertical="center"/>
    </xf>
    <xf numFmtId="0" fontId="21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11" fillId="16" borderId="2" applyAlignment="1" pivotButton="0" quotePrefix="0" xfId="0">
      <alignment horizontal="left" vertical="center"/>
    </xf>
    <xf numFmtId="0" fontId="0" fillId="16" borderId="2" pivotButton="0" quotePrefix="0" xfId="0"/>
    <xf numFmtId="164" fontId="22" fillId="16" borderId="2" applyAlignment="1" pivotButton="0" quotePrefix="0" xfId="0">
      <alignment horizontal="right" vertical="center"/>
    </xf>
    <xf numFmtId="165" fontId="22" fillId="16" borderId="2" applyAlignment="1" pivotButton="0" quotePrefix="0" xfId="0">
      <alignment horizontal="right" vertical="center"/>
    </xf>
    <xf numFmtId="0" fontId="11" fillId="7" borderId="2" applyAlignment="1" pivotButton="0" quotePrefix="0" xfId="0">
      <alignment horizontal="left" vertical="center"/>
    </xf>
    <xf numFmtId="0" fontId="0" fillId="7" borderId="2" pivotButton="0" quotePrefix="0" xfId="0"/>
    <xf numFmtId="165" fontId="22" fillId="7" borderId="2" applyAlignment="1" pivotButton="0" quotePrefix="0" xfId="0">
      <alignment horizontal="right" vertical="center"/>
    </xf>
    <xf numFmtId="0" fontId="24" fillId="0" borderId="0" pivotButton="0" quotePrefix="0" xfId="0"/>
    <xf numFmtId="0" fontId="26" fillId="0" borderId="3" pivotButton="0" quotePrefix="0" xfId="0"/>
    <xf numFmtId="166" fontId="27" fillId="20" borderId="3" pivotButton="0" quotePrefix="0" xfId="0"/>
    <xf numFmtId="3" fontId="27" fillId="20" borderId="3" pivotButton="0" quotePrefix="0" xfId="0"/>
    <xf numFmtId="167" fontId="28" fillId="0" borderId="3" pivotButton="0" quotePrefix="0" xfId="0"/>
    <xf numFmtId="0" fontId="29" fillId="0" borderId="3" pivotButton="0" quotePrefix="0" xfId="0"/>
    <xf numFmtId="0" fontId="30" fillId="0" borderId="3" pivotButton="0" quotePrefix="0" xfId="0"/>
    <xf numFmtId="0" fontId="31" fillId="0" borderId="3" pivotButton="0" quotePrefix="0" xfId="0"/>
    <xf numFmtId="0" fontId="32" fillId="0" borderId="3" pivotButton="0" quotePrefix="0" xfId="0"/>
    <xf numFmtId="0" fontId="33" fillId="0" borderId="3" pivotButton="0" quotePrefix="0" xfId="0"/>
    <xf numFmtId="168" fontId="28" fillId="0" borderId="3" pivotButton="0" quotePrefix="0" xfId="0"/>
    <xf numFmtId="169" fontId="28" fillId="0" borderId="3" pivotButton="0" quotePrefix="0" xfId="0"/>
    <xf numFmtId="165" fontId="27" fillId="20" borderId="3" pivotButton="0" quotePrefix="0" xfId="0"/>
    <xf numFmtId="168" fontId="27" fillId="20" borderId="3" pivotButton="0" quotePrefix="0" xfId="0"/>
    <xf numFmtId="3" fontId="28" fillId="0" borderId="3" pivotButton="0" quotePrefix="0" xfId="0"/>
    <xf numFmtId="165" fontId="34" fillId="0" borderId="3" pivotButton="0" quotePrefix="0" xfId="0"/>
    <xf numFmtId="167" fontId="35" fillId="0" borderId="3" pivotButton="0" quotePrefix="0" xfId="0"/>
    <xf numFmtId="167" fontId="36" fillId="0" borderId="3" pivotButton="0" quotePrefix="0" xfId="0"/>
    <xf numFmtId="167" fontId="37" fillId="0" borderId="3" pivotButton="0" quotePrefix="0" xfId="0"/>
    <xf numFmtId="167" fontId="38" fillId="0" borderId="3" pivotButton="0" quotePrefix="0" xfId="0"/>
    <xf numFmtId="165" fontId="38" fillId="0" borderId="3" pivotButton="0" quotePrefix="0" xfId="0"/>
    <xf numFmtId="167" fontId="27" fillId="20" borderId="3" pivotButton="0" quotePrefix="0" xfId="0"/>
    <xf numFmtId="170" fontId="39" fillId="0" borderId="3" pivotButton="0" quotePrefix="0" xfId="0"/>
    <xf numFmtId="165" fontId="36" fillId="0" borderId="3" pivotButton="0" quotePrefix="0" xfId="0"/>
    <xf numFmtId="10" fontId="28" fillId="0" borderId="3" pivotButton="0" quotePrefix="0" xfId="0"/>
    <xf numFmtId="0" fontId="34" fillId="0" borderId="0" applyAlignment="1" pivotButton="0" quotePrefix="0" xfId="0">
      <alignment horizontal="center"/>
    </xf>
    <xf numFmtId="167" fontId="34" fillId="0" borderId="3" pivotButton="0" quotePrefix="0" xfId="0"/>
    <xf numFmtId="0" fontId="40" fillId="0" borderId="3" pivotButton="0" quotePrefix="0" xfId="0"/>
    <xf numFmtId="170" fontId="35" fillId="0" borderId="3" pivotButton="0" quotePrefix="0" xfId="0"/>
    <xf numFmtId="165" fontId="28" fillId="0" borderId="3" pivotButton="0" quotePrefix="0" xfId="0"/>
    <xf numFmtId="171" fontId="28" fillId="0" borderId="3" pivotButton="0" quotePrefix="0" xfId="0"/>
    <xf numFmtId="0" fontId="41" fillId="0" borderId="0" pivotButton="0" quotePrefix="0" xfId="0"/>
    <xf numFmtId="0" fontId="44" fillId="0" borderId="0" applyAlignment="1" pivotButton="0" quotePrefix="0" xfId="0">
      <alignment horizontal="center" vertical="center"/>
    </xf>
    <xf numFmtId="0" fontId="44" fillId="0" borderId="0" pivotButton="0" quotePrefix="0" xfId="0"/>
    <xf numFmtId="0" fontId="45" fillId="0" borderId="0" pivotButton="0" quotePrefix="0" xfId="0"/>
    <xf numFmtId="0" fontId="43" fillId="0" borderId="0" pivotButton="0" quotePrefix="0" xfId="0"/>
    <xf numFmtId="0" fontId="46" fillId="0" borderId="0" pivotButton="0" quotePrefix="0" xfId="0"/>
    <xf numFmtId="0" fontId="45" fillId="22" borderId="0" pivotButton="0" quotePrefix="0" xfId="0"/>
    <xf numFmtId="0" fontId="47" fillId="0" borderId="0" pivotButton="0" quotePrefix="0" xfId="0"/>
    <xf numFmtId="168" fontId="47" fillId="0" borderId="0" pivotButton="0" quotePrefix="0" xfId="0"/>
    <xf numFmtId="167" fontId="45" fillId="22" borderId="0" pivotButton="0" quotePrefix="0" xfId="0"/>
    <xf numFmtId="167" fontId="47" fillId="0" borderId="0" pivotButton="0" quotePrefix="0" xfId="0"/>
    <xf numFmtId="0" fontId="48" fillId="0" borderId="0" pivotButton="0" quotePrefix="0" xfId="0"/>
    <xf numFmtId="0" fontId="49" fillId="0" borderId="0" pivotButton="0" quotePrefix="0" xfId="0"/>
    <xf numFmtId="0" fontId="50" fillId="0" borderId="0" pivotButton="0" quotePrefix="0" xfId="0"/>
    <xf numFmtId="172" fontId="47" fillId="0" borderId="0" pivotButton="0" quotePrefix="0" xfId="0"/>
    <xf numFmtId="172" fontId="50" fillId="0" borderId="0" pivotButton="0" quotePrefix="0" xfId="0"/>
    <xf numFmtId="9" fontId="45" fillId="0" borderId="0" pivotButton="0" quotePrefix="0" xfId="0"/>
    <xf numFmtId="9" fontId="45" fillId="22" borderId="0" pivotButton="0" quotePrefix="0" xfId="0"/>
    <xf numFmtId="168" fontId="43" fillId="0" borderId="0" pivotButton="0" quotePrefix="0" xfId="0"/>
    <xf numFmtId="165" fontId="47" fillId="0" borderId="0" pivotButton="0" quotePrefix="0" xfId="0"/>
    <xf numFmtId="167" fontId="48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48" fillId="0" borderId="0" applyAlignment="1" pivotButton="0" quotePrefix="0" xfId="0">
      <alignment horizontal="center" vertical="center"/>
    </xf>
    <xf numFmtId="0" fontId="51" fillId="0" borderId="0" applyAlignment="1" pivotButton="0" quotePrefix="0" xfId="0">
      <alignment horizontal="center" vertical="center"/>
    </xf>
    <xf numFmtId="173" fontId="45" fillId="0" borderId="0" pivotButton="0" quotePrefix="0" xfId="0"/>
    <xf numFmtId="0" fontId="43" fillId="0" borderId="0" applyAlignment="1" pivotButton="0" quotePrefix="0" xfId="0">
      <alignment vertical="top" wrapText="1"/>
    </xf>
    <xf numFmtId="0" fontId="0" fillId="0" borderId="0" pivotButton="0" quotePrefix="0" xfId="0"/>
    <xf numFmtId="0" fontId="42" fillId="21" borderId="0" applyAlignment="1" pivotButton="0" quotePrefix="0" xfId="0">
      <alignment vertical="center"/>
    </xf>
    <xf numFmtId="0" fontId="0" fillId="21" borderId="0" pivotButton="0" quotePrefix="0" xfId="0"/>
    <xf numFmtId="0" fontId="25" fillId="19" borderId="0" applyAlignment="1" pivotButton="0" quotePrefix="0" xfId="0">
      <alignment horizontal="left" vertical="center"/>
    </xf>
    <xf numFmtId="0" fontId="23" fillId="18" borderId="0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0" fillId="0" borderId="4" pivotButton="0" quotePrefix="0" xfId="0"/>
    <xf numFmtId="0" fontId="9" fillId="17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11" fillId="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  <xf numFmtId="0" fontId="0" fillId="0" borderId="5" pivotButton="0" quotePrefix="0" xfId="0"/>
    <xf numFmtId="0" fontId="11" fillId="1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52" fillId="0" borderId="0" applyAlignment="1" pivotButton="0" quotePrefix="0" xfId="0">
      <alignment horizontal="center" vertical="center"/>
    </xf>
    <xf numFmtId="0" fontId="53" fillId="21" borderId="0" pivotButton="0" quotePrefix="0" xfId="0"/>
    <xf numFmtId="0" fontId="54" fillId="0" borderId="0" pivotButton="0" quotePrefix="0" xfId="0"/>
    <xf numFmtId="0" fontId="55" fillId="0" borderId="0" pivotButton="0" quotePrefix="0" xfId="0"/>
    <xf numFmtId="0" fontId="56" fillId="0" borderId="0" pivotButton="0" quotePrefix="0" xfId="0"/>
    <xf numFmtId="0" fontId="57" fillId="0" borderId="0" pivotButton="0" quotePrefix="0" xfId="0"/>
    <xf numFmtId="174" fontId="58" fillId="0" borderId="0" pivotButton="0" quotePrefix="0" xfId="0"/>
    <xf numFmtId="3" fontId="58" fillId="23" borderId="0" pivotButton="0" quotePrefix="0" xfId="0"/>
    <xf numFmtId="174" fontId="58" fillId="23" borderId="0" pivotButton="0" quotePrefix="0" xfId="0"/>
    <xf numFmtId="175" fontId="56" fillId="0" borderId="0" pivotButton="0" quotePrefix="0" xfId="0"/>
    <xf numFmtId="9" fontId="58" fillId="23" borderId="0" pivotButton="0" quotePrefix="0" xfId="0"/>
    <xf numFmtId="175" fontId="57" fillId="0" borderId="0" pivotButton="0" quotePrefix="0" xfId="0"/>
    <xf numFmtId="0" fontId="58" fillId="0" borderId="0" pivotButton="0" quotePrefix="0" xfId="0"/>
    <xf numFmtId="0" fontId="59" fillId="0" borderId="0" pivotButton="0" quotePrefix="0" xfId="0"/>
    <xf numFmtId="3" fontId="58" fillId="0" borderId="0" pivotButton="0" quotePrefix="0" xfId="0"/>
    <xf numFmtId="0" fontId="60" fillId="0" borderId="0" pivotButton="0" quotePrefix="0" xfId="0"/>
    <xf numFmtId="176" fontId="56" fillId="0" borderId="0" pivotButton="0" quotePrefix="0" xfId="0"/>
    <xf numFmtId="174" fontId="57" fillId="0" borderId="0" pivotButton="0" quotePrefix="0" xfId="0"/>
    <xf numFmtId="0" fontId="61" fillId="0" borderId="0" pivotButton="0" quotePrefix="0" xfId="0"/>
    <xf numFmtId="0" fontId="62" fillId="0" borderId="0" pivotButton="0" quotePrefix="0" xfId="0"/>
    <xf numFmtId="165" fontId="58" fillId="23" borderId="0" pivotButton="0" quotePrefix="0" xfId="0"/>
    <xf numFmtId="175" fontId="58" fillId="23" borderId="0" pivotButton="0" quotePrefix="0" xfId="0"/>
    <xf numFmtId="0" fontId="63" fillId="24" borderId="0" applyAlignment="1" pivotButton="0" quotePrefix="0" xfId="0">
      <alignment horizontal="left" vertical="center"/>
    </xf>
    <xf numFmtId="0" fontId="0" fillId="24" borderId="0" pivotButton="0" quotePrefix="0" xfId="0"/>
    <xf numFmtId="0" fontId="64" fillId="0" borderId="0" applyAlignment="1" pivotButton="0" quotePrefix="0" xfId="0">
      <alignment vertical="top" wrapText="1"/>
    </xf>
    <xf numFmtId="0" fontId="65" fillId="0" borderId="0" pivotButton="0" quotePrefix="0" xfId="0"/>
    <xf numFmtId="0" fontId="66" fillId="0" borderId="9" pivotButton="0" quotePrefix="0" xfId="0"/>
    <xf numFmtId="0" fontId="65" fillId="0" borderId="9" pivotButton="0" quotePrefix="0" xfId="0"/>
    <xf numFmtId="0" fontId="67" fillId="0" borderId="9" pivotButton="0" quotePrefix="0" xfId="0"/>
    <xf numFmtId="0" fontId="68" fillId="0" borderId="9" pivotButton="0" quotePrefix="0" xfId="0"/>
    <xf numFmtId="0" fontId="69" fillId="0" borderId="9" pivotButton="0" quotePrefix="0" xfId="0"/>
    <xf numFmtId="0" fontId="67" fillId="0" borderId="0" pivotButton="0" quotePrefix="0" xfId="0"/>
    <xf numFmtId="174" fontId="70" fillId="25" borderId="0" pivotButton="0" quotePrefix="0" xfId="0"/>
    <xf numFmtId="9" fontId="70" fillId="25" borderId="0" pivotButton="0" quotePrefix="0" xfId="0"/>
    <xf numFmtId="175" fontId="70" fillId="25" borderId="0" pivotButton="0" quotePrefix="0" xfId="0"/>
    <xf numFmtId="175" fontId="67" fillId="0" borderId="9" pivotButton="0" quotePrefix="0" xfId="0"/>
    <xf numFmtId="174" fontId="67" fillId="0" borderId="9" pivotButton="0" quotePrefix="0" xfId="0"/>
    <xf numFmtId="177" fontId="67" fillId="0" borderId="9" pivotButton="0" quotePrefix="0" xfId="0"/>
    <xf numFmtId="178" fontId="67" fillId="0" borderId="9" pivotButton="0" quotePrefix="0" xfId="0"/>
    <xf numFmtId="179" fontId="69" fillId="0" borderId="9" pivotButton="0" quotePrefix="0" xfId="0"/>
    <xf numFmtId="3" fontId="70" fillId="25" borderId="0" pivotButton="0" quotePrefix="0" xfId="0"/>
    <xf numFmtId="175" fontId="65" fillId="0" borderId="0" pivotButton="0" quotePrefix="0" xfId="0"/>
    <xf numFmtId="3" fontId="67" fillId="0" borderId="0" pivotButton="0" quotePrefix="0" xfId="0"/>
    <xf numFmtId="175" fontId="69" fillId="0" borderId="0" pivotButton="0" quotePrefix="0" xfId="0"/>
    <xf numFmtId="179" fontId="69" fillId="0" borderId="0" pivotButton="0" quotePrefix="0" xfId="0"/>
    <xf numFmtId="9" fontId="69" fillId="0" borderId="0" pivotButton="0" quotePrefix="0" xfId="0"/>
    <xf numFmtId="180" fontId="70" fillId="25" borderId="0" pivotButton="0" quotePrefix="0" xfId="0"/>
    <xf numFmtId="174" fontId="67" fillId="0" borderId="0" pivotButton="0" quotePrefix="0" xfId="0"/>
    <xf numFmtId="174" fontId="65" fillId="0" borderId="0" pivotButton="0" quotePrefix="0" xfId="0"/>
    <xf numFmtId="175" fontId="67" fillId="0" borderId="0" pivotButton="0" quotePrefix="0" xfId="0"/>
    <xf numFmtId="181" fontId="67" fillId="0" borderId="0" pivotButton="0" quotePrefix="0" xfId="0"/>
    <xf numFmtId="174" fontId="69" fillId="0" borderId="0" pivotButton="0" quotePrefix="0" xfId="0"/>
    <xf numFmtId="0" fontId="67" fillId="0" borderId="9" applyAlignment="1" pivotButton="0" quotePrefix="0" xfId="0">
      <alignment vertical="top" wrapText="1"/>
    </xf>
    <xf numFmtId="0" fontId="71" fillId="19" borderId="9" applyAlignment="1" pivotButton="0" quotePrefix="0" xfId="0">
      <alignment horizontal="left" vertical="center"/>
    </xf>
    <xf numFmtId="0" fontId="67" fillId="0" borderId="3" pivotButton="0" quotePrefix="0" xfId="0"/>
    <xf numFmtId="175" fontId="70" fillId="25" borderId="3" pivotButton="0" quotePrefix="0" xfId="0"/>
    <xf numFmtId="9" fontId="70" fillId="25" borderId="3" pivotButton="0" quotePrefix="0" xfId="0"/>
    <xf numFmtId="0" fontId="65" fillId="0" borderId="3" pivotButton="0" quotePrefix="0" xfId="0"/>
    <xf numFmtId="175" fontId="65" fillId="0" borderId="3" pivotButton="0" quotePrefix="0" xfId="0"/>
    <xf numFmtId="0" fontId="63" fillId="24" borderId="3" applyAlignment="1" pivotButton="0" quotePrefix="0" xfId="0">
      <alignment horizontal="left" vertical="center"/>
    </xf>
    <xf numFmtId="0" fontId="0" fillId="24" borderId="3" pivotButton="0" quotePrefix="0" xfId="0"/>
    <xf numFmtId="0" fontId="67" fillId="19" borderId="0" applyAlignment="1" pivotButton="0" quotePrefix="0" xfId="0">
      <alignment horizontal="left" vertical="center"/>
    </xf>
    <xf numFmtId="175" fontId="67" fillId="0" borderId="3" pivotButton="0" quotePrefix="0" xfId="0"/>
    <xf numFmtId="165" fontId="67" fillId="0" borderId="3" pivotButton="0" quotePrefix="0" xfId="0"/>
    <xf numFmtId="174" fontId="67" fillId="0" borderId="3" pivotButton="0" quotePrefix="0" xfId="0"/>
    <xf numFmtId="0" fontId="65" fillId="19" borderId="0" applyAlignment="1" pivotButton="0" quotePrefix="0" xfId="0">
      <alignment horizontal="left" vertic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7B2D00"/>
      <rgbColor rgb="FF1A7A1A"/>
      <rgbColor rgb="FF1A1A2E"/>
      <rgbColor rgb="FF996600"/>
      <rgbColor rgb="FF660099"/>
      <rgbColor rgb="FF1A6B1A"/>
      <rgbColor rgb="FFBBBBBB"/>
      <rgbColor rgb="FF708090"/>
      <rgbColor rgb="FFEBF0FA"/>
      <rgbColor rgb="FF7F5A00"/>
      <rgbColor rgb="FFFFFFCC"/>
      <rgbColor rgb="FFEBF5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1A5C1A"/>
      <rgbColor rgb="FF0000FF"/>
      <rgbColor rgb="FF00CCFF"/>
      <rgbColor rgb="FFEBF5EB"/>
      <rgbColor rgb="FFC8E6C9"/>
      <rgbColor rgb="FFFFF8E1"/>
      <rgbColor rgb="FFD6E4F0"/>
      <rgbColor rgb="FFFEF0E7"/>
      <rgbColor rgb="FFE0E0E0"/>
      <rgbColor rgb="FFFFE082"/>
      <rgbColor rgb="FF4472C4"/>
      <rgbColor rgb="FF33CCCC"/>
      <rgbColor rgb="FF99CC00"/>
      <rgbColor rgb="FFFFCC00"/>
      <rgbColor rgb="FFDAA520"/>
      <rgbColor rgb="FFC55A11"/>
      <rgbColor rgb="FF666666"/>
      <rgbColor rgb="FF969696"/>
      <rgbColor rgb="FF1A3C5E"/>
      <rgbColor rgb="FF006600"/>
      <rgbColor rgb="FF0D2137"/>
      <rgbColor rgb="FF2D2D44"/>
      <rgbColor rgb="FF8B4513"/>
      <rgbColor rgb="FF5C3D00"/>
      <rgbColor rgb="FF2E405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zoomScale="130" zoomScaleNormal="13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44" sqref="K44"/>
    </sheetView>
  </sheetViews>
  <sheetFormatPr baseColWidth="10" defaultColWidth="14.5" defaultRowHeight="15"/>
  <cols>
    <col width="60.6640625" customWidth="1" style="91" min="1" max="1"/>
    <col width="11" customWidth="1" style="91" min="2" max="2"/>
    <col width="13" customWidth="1" style="91" min="3" max="3"/>
    <col width="11" customWidth="1" style="91" min="4" max="5"/>
    <col width="13" customWidth="1" style="91" min="6" max="6"/>
    <col width="11" customWidth="1" style="91" min="7" max="8"/>
    <col width="13" customWidth="1" style="91" min="9" max="9"/>
    <col width="11" customWidth="1" style="91" min="10" max="10"/>
    <col width="8.6640625" customWidth="1" style="91" min="11" max="26"/>
  </cols>
  <sheetData>
    <row r="1" ht="27.75" customHeight="1" s="91">
      <c r="A1" s="106" t="inlineStr">
        <is>
          <t>SERVERCARE.IO  —  ENTERPRISE MANAGED HOSTING  ·  $CRM Project</t>
        </is>
      </c>
      <c r="B1" s="97" t="n"/>
      <c r="C1" s="97" t="n"/>
      <c r="D1" s="97" t="n"/>
      <c r="E1" s="97" t="n"/>
      <c r="F1" s="97" t="n"/>
      <c r="G1" s="97" t="n"/>
      <c r="H1" s="97" t="n"/>
      <c r="I1" s="97" t="n"/>
      <c r="J1" s="97" t="n"/>
    </row>
    <row r="2" ht="15" customHeight="1" s="91">
      <c r="A2" s="107" t="inlineStr">
        <is>
          <t>SC.io Managed Price = 3× raw Hetzner cost on hostable infra  |  External APIs passed through at cost (no markup)  |  No GCP overhead</t>
        </is>
      </c>
      <c r="B2" s="97" t="n"/>
      <c r="C2" s="97" t="n"/>
      <c r="D2" s="97" t="n"/>
      <c r="E2" s="97" t="n"/>
      <c r="F2" s="97" t="n"/>
      <c r="G2" s="97" t="n"/>
      <c r="H2" s="97" t="n"/>
      <c r="I2" s="97" t="n"/>
      <c r="J2" s="97" t="n"/>
    </row>
    <row r="3" ht="37.5" customHeight="1" s="91">
      <c r="A3" s="102" t="inlineStr">
        <is>
          <t>Component</t>
        </is>
      </c>
      <c r="B3" s="105" t="inlineStr">
        <is>
          <t>1,000 USERS</t>
        </is>
      </c>
      <c r="C3" s="97" t="n"/>
      <c r="D3" s="97" t="n"/>
      <c r="E3" s="105" t="inlineStr">
        <is>
          <t>10,000 USERS</t>
        </is>
      </c>
      <c r="F3" s="97" t="n"/>
      <c r="G3" s="97" t="n"/>
      <c r="H3" s="105" t="inlineStr">
        <is>
          <t>100,000 USERS</t>
        </is>
      </c>
      <c r="I3" s="97" t="n"/>
      <c r="J3" s="97" t="n"/>
    </row>
    <row r="4" ht="25.5" customHeight="1" s="91">
      <c r="A4" s="103" t="n"/>
      <c r="B4" s="1" t="inlineStr">
        <is>
          <t>Hetzner
Raw Cost</t>
        </is>
      </c>
      <c r="C4" s="2" t="inlineStr">
        <is>
          <t>SC.io
Managed</t>
        </is>
      </c>
      <c r="D4" s="3" t="inlineStr">
        <is>
          <t>GCP
Equiv.</t>
        </is>
      </c>
      <c r="E4" s="1" t="inlineStr">
        <is>
          <t>Hetzner
Raw Cost</t>
        </is>
      </c>
      <c r="F4" s="2" t="inlineStr">
        <is>
          <t>SC.io
Managed</t>
        </is>
      </c>
      <c r="G4" s="3" t="inlineStr">
        <is>
          <t>GCP
Equiv.</t>
        </is>
      </c>
      <c r="H4" s="1" t="inlineStr">
        <is>
          <t>Hetzner
Raw Cost</t>
        </is>
      </c>
      <c r="I4" s="2" t="inlineStr">
        <is>
          <t>SC.io
Managed</t>
        </is>
      </c>
      <c r="J4" s="3" t="inlineStr">
        <is>
          <t>GCP
Equiv.</t>
        </is>
      </c>
    </row>
    <row r="5" ht="13.5" customHeight="1" s="91">
      <c r="A5" s="96" t="inlineStr">
        <is>
          <t>🖥️  COMPUTE</t>
        </is>
      </c>
      <c r="B5" s="97" t="n"/>
      <c r="C5" s="97" t="n"/>
      <c r="D5" s="97" t="n"/>
      <c r="E5" s="97" t="n"/>
      <c r="F5" s="97" t="n"/>
      <c r="G5" s="97" t="n"/>
      <c r="H5" s="97" t="n"/>
      <c r="I5" s="97" t="n"/>
      <c r="J5" s="97" t="n"/>
    </row>
    <row r="6" ht="13.5" customHeight="1" s="91">
      <c r="A6" s="4" t="inlineStr">
        <is>
          <t>Bot + API server</t>
        </is>
      </c>
      <c r="B6" s="5" t="n">
        <v>19</v>
      </c>
      <c r="C6" s="6">
        <f>ROUND(B6*3,0)</f>
        <v/>
      </c>
      <c r="D6" s="7" t="n"/>
      <c r="E6" s="5" t="n">
        <v>37</v>
      </c>
      <c r="F6" s="6">
        <f>ROUND(E6*3,0)</f>
        <v/>
      </c>
      <c r="G6" s="7" t="n"/>
      <c r="H6" s="5" t="n">
        <v>95</v>
      </c>
      <c r="I6" s="6">
        <f>ROUND(H6*3,0)</f>
        <v/>
      </c>
      <c r="J6" s="7" t="n"/>
    </row>
    <row r="7" ht="13.5" customHeight="1" s="91">
      <c r="A7" s="4" t="inlineStr">
        <is>
          <t>Background workers</t>
        </is>
      </c>
      <c r="B7" s="5" t="n">
        <v>11</v>
      </c>
      <c r="C7" s="6">
        <f>ROUND(B7*3,0)</f>
        <v/>
      </c>
      <c r="D7" s="7" t="n"/>
      <c r="E7" s="5" t="n">
        <v>19</v>
      </c>
      <c r="F7" s="6">
        <f>ROUND(E7*3,0)</f>
        <v/>
      </c>
      <c r="G7" s="7" t="n"/>
      <c r="H7" s="5" t="n">
        <v>55</v>
      </c>
      <c r="I7" s="6">
        <f>ROUND(H7*3,0)</f>
        <v/>
      </c>
      <c r="J7" s="7" t="n"/>
    </row>
    <row r="8" ht="13.5" customHeight="1" s="91">
      <c r="A8" s="4" t="inlineStr">
        <is>
          <t>Marcus TG-Router</t>
        </is>
      </c>
      <c r="B8" s="5" t="n">
        <v>9</v>
      </c>
      <c r="C8" s="6">
        <f>ROUND(B8*3,0)</f>
        <v/>
      </c>
      <c r="D8" s="7" t="n"/>
      <c r="E8" s="5" t="n">
        <v>11</v>
      </c>
      <c r="F8" s="6">
        <f>ROUND(E8*3,0)</f>
        <v/>
      </c>
      <c r="G8" s="7" t="n"/>
      <c r="H8" s="5" t="n">
        <v>19</v>
      </c>
      <c r="I8" s="6">
        <f>ROUND(H8*3,0)</f>
        <v/>
      </c>
      <c r="J8" s="7" t="n"/>
    </row>
    <row r="9" ht="13.5" customHeight="1" s="91">
      <c r="A9" s="4" t="inlineStr">
        <is>
          <t>Marcus OpenClaw (LLM GW)</t>
        </is>
      </c>
      <c r="B9" s="5" t="n">
        <v>0</v>
      </c>
      <c r="C9" s="6">
        <f>ROUND(B9*3,0)</f>
        <v/>
      </c>
      <c r="D9" s="7" t="n"/>
      <c r="E9" s="5" t="n">
        <v>11</v>
      </c>
      <c r="F9" s="6">
        <f>ROUND(E9*3,0)</f>
        <v/>
      </c>
      <c r="G9" s="7" t="n"/>
      <c r="H9" s="5" t="n">
        <v>19</v>
      </c>
      <c r="I9" s="6">
        <f>ROUND(H9*3,0)</f>
        <v/>
      </c>
      <c r="J9" s="7" t="n"/>
    </row>
    <row r="10" ht="13.5" customHeight="1" s="91">
      <c r="A10" s="4" t="inlineStr">
        <is>
          <t>KrakenD API Gateway</t>
        </is>
      </c>
      <c r="B10" s="5" t="n">
        <v>0</v>
      </c>
      <c r="C10" s="6">
        <f>ROUND(B10*3,0)</f>
        <v/>
      </c>
      <c r="D10" s="7" t="n"/>
      <c r="E10" s="5" t="n">
        <v>9</v>
      </c>
      <c r="F10" s="6">
        <f>ROUND(E10*3,0)</f>
        <v/>
      </c>
      <c r="G10" s="7" t="n"/>
      <c r="H10" s="5" t="n">
        <v>19</v>
      </c>
      <c r="I10" s="6">
        <f>ROUND(H10*3,0)</f>
        <v/>
      </c>
      <c r="J10" s="7" t="n"/>
    </row>
    <row r="11" ht="13.5" customHeight="1" s="91">
      <c r="A11" s="4" t="inlineStr">
        <is>
          <t>Load Balancer (Hetzner LB)</t>
        </is>
      </c>
      <c r="B11" s="5" t="n">
        <v>6</v>
      </c>
      <c r="C11" s="6">
        <f>ROUND(B11*3,0)</f>
        <v/>
      </c>
      <c r="D11" s="7" t="n"/>
      <c r="E11" s="5" t="n">
        <v>6</v>
      </c>
      <c r="F11" s="6">
        <f>ROUND(E11*3,0)</f>
        <v/>
      </c>
      <c r="G11" s="7" t="n"/>
      <c r="H11" s="5" t="n">
        <v>6</v>
      </c>
      <c r="I11" s="6">
        <f>ROUND(H11*3,0)</f>
        <v/>
      </c>
      <c r="J11" s="7" t="n"/>
    </row>
    <row r="12" ht="13.5" customHeight="1" s="91">
      <c r="A12" s="8" t="inlineStr">
        <is>
          <t xml:space="preserve">   Subtotal — COMPUTE</t>
        </is>
      </c>
      <c r="B12" s="9">
        <f>SUM(B6:B11)</f>
        <v/>
      </c>
      <c r="C12" s="10">
        <f>SUM(C6:C11)</f>
        <v/>
      </c>
      <c r="D12" s="11" t="n">
        <v>250</v>
      </c>
      <c r="E12" s="9">
        <f>SUM(E6:E11)</f>
        <v/>
      </c>
      <c r="F12" s="10">
        <f>SUM(F6:F11)</f>
        <v/>
      </c>
      <c r="G12" s="11" t="n">
        <v>550</v>
      </c>
      <c r="H12" s="9">
        <f>SUM(H6:H11)</f>
        <v/>
      </c>
      <c r="I12" s="10">
        <f>SUM(I6:I11)</f>
        <v/>
      </c>
      <c r="J12" s="11" t="n">
        <v>1500</v>
      </c>
    </row>
    <row r="13" ht="13.5" customHeight="1" s="91">
      <c r="A13" s="96" t="inlineStr">
        <is>
          <t>🗄️  DATABASE &amp; CACHE</t>
        </is>
      </c>
      <c r="B13" s="97" t="n"/>
      <c r="C13" s="97" t="n"/>
      <c r="D13" s="97" t="n"/>
      <c r="E13" s="97" t="n"/>
      <c r="F13" s="97" t="n"/>
      <c r="G13" s="97" t="n"/>
      <c r="H13" s="97" t="n"/>
      <c r="I13" s="97" t="n"/>
      <c r="J13" s="97" t="n"/>
    </row>
    <row r="14" ht="13.5" customHeight="1" s="91">
      <c r="A14" s="4" t="inlineStr">
        <is>
          <t>Postgres (self-hosted)</t>
        </is>
      </c>
      <c r="B14" s="5" t="n">
        <v>8</v>
      </c>
      <c r="C14" s="6">
        <f>ROUND(B14*3,0)</f>
        <v/>
      </c>
      <c r="D14" s="7" t="n"/>
      <c r="E14" s="5" t="n">
        <v>19</v>
      </c>
      <c r="F14" s="6">
        <f>ROUND(E14*3,0)</f>
        <v/>
      </c>
      <c r="G14" s="7" t="n"/>
      <c r="H14" s="5" t="n">
        <v>55</v>
      </c>
      <c r="I14" s="6">
        <f>ROUND(H14*3,0)</f>
        <v/>
      </c>
      <c r="J14" s="7" t="n"/>
    </row>
    <row r="15" ht="13.5" customHeight="1" s="91">
      <c r="A15" s="4" t="inlineStr">
        <is>
          <t>Valkey / Redis</t>
        </is>
      </c>
      <c r="B15" s="5" t="n">
        <v>0</v>
      </c>
      <c r="C15" s="6">
        <f>ROUND(B15*3,0)</f>
        <v/>
      </c>
      <c r="D15" s="7" t="n"/>
      <c r="E15" s="5" t="n">
        <v>11</v>
      </c>
      <c r="F15" s="6">
        <f>ROUND(E15*3,0)</f>
        <v/>
      </c>
      <c r="G15" s="7" t="n"/>
      <c r="H15" s="5" t="n">
        <v>19</v>
      </c>
      <c r="I15" s="6">
        <f>ROUND(H15*3,0)</f>
        <v/>
      </c>
      <c r="J15" s="7" t="n"/>
    </row>
    <row r="16" ht="13.5" customHeight="1" s="91">
      <c r="A16" s="4" t="inlineStr">
        <is>
          <t>Neo4j (Marcus graph)</t>
        </is>
      </c>
      <c r="B16" s="5" t="n">
        <v>0</v>
      </c>
      <c r="C16" s="6">
        <f>ROUND(B16*3,0)</f>
        <v/>
      </c>
      <c r="D16" s="7" t="n"/>
      <c r="E16" s="5" t="n">
        <v>11</v>
      </c>
      <c r="F16" s="6">
        <f>ROUND(E16*3,0)</f>
        <v/>
      </c>
      <c r="G16" s="7" t="n"/>
      <c r="H16" s="5" t="n">
        <v>19</v>
      </c>
      <c r="I16" s="6">
        <f>ROUND(H16*3,0)</f>
        <v/>
      </c>
      <c r="J16" s="7" t="n"/>
    </row>
    <row r="17" ht="13.5" customHeight="1" s="91">
      <c r="A17" s="8" t="inlineStr">
        <is>
          <t xml:space="preserve">   Subtotal — DATABASE &amp; CACHE</t>
        </is>
      </c>
      <c r="B17" s="9">
        <f>SUM(B14:B16)</f>
        <v/>
      </c>
      <c r="C17" s="10">
        <f>SUM(C14:C16)</f>
        <v/>
      </c>
      <c r="D17" s="11" t="n">
        <v>69</v>
      </c>
      <c r="E17" s="9">
        <f>SUM(E14:E16)</f>
        <v/>
      </c>
      <c r="F17" s="10">
        <f>SUM(F14:F16)</f>
        <v/>
      </c>
      <c r="G17" s="11" t="n">
        <v>347</v>
      </c>
      <c r="H17" s="9">
        <f>SUM(H14:H16)</f>
        <v/>
      </c>
      <c r="I17" s="10">
        <f>SUM(I14:I16)</f>
        <v/>
      </c>
      <c r="J17" s="11" t="n">
        <v>1074</v>
      </c>
    </row>
    <row r="18" ht="13.5" customHeight="1" s="91">
      <c r="A18" s="96" t="inlineStr">
        <is>
          <t>🌐  NETWORKING &amp; SECURITY</t>
        </is>
      </c>
      <c r="B18" s="97" t="n"/>
      <c r="C18" s="97" t="n"/>
      <c r="D18" s="97" t="n"/>
      <c r="E18" s="97" t="n"/>
      <c r="F18" s="97" t="n"/>
      <c r="G18" s="97" t="n"/>
      <c r="H18" s="97" t="n"/>
      <c r="I18" s="97" t="n"/>
      <c r="J18" s="97" t="n"/>
    </row>
    <row r="19" ht="13.5" customHeight="1" s="91">
      <c r="A19" s="4" t="inlineStr">
        <is>
          <t>Egress / outbound traffic</t>
        </is>
      </c>
      <c r="B19" s="5" t="n">
        <v>2</v>
      </c>
      <c r="C19" s="6">
        <f>ROUND(B19*3,0)</f>
        <v/>
      </c>
      <c r="D19" s="7" t="n"/>
      <c r="E19" s="5" t="n">
        <v>5</v>
      </c>
      <c r="F19" s="6">
        <f>ROUND(E19*3,0)</f>
        <v/>
      </c>
      <c r="G19" s="7" t="n"/>
      <c r="H19" s="5" t="n">
        <v>15</v>
      </c>
      <c r="I19" s="6">
        <f>ROUND(H19*3,0)</f>
        <v/>
      </c>
      <c r="J19" s="7" t="n"/>
    </row>
    <row r="20" ht="13.5" customHeight="1" s="91">
      <c r="A20" s="4" t="inlineStr">
        <is>
          <t>WAF / DDoS (Cloudflare)</t>
        </is>
      </c>
      <c r="B20" s="5" t="n">
        <v>0</v>
      </c>
      <c r="C20" s="6">
        <f>ROUND(B20*3,0)</f>
        <v/>
      </c>
      <c r="D20" s="7" t="n"/>
      <c r="E20" s="5" t="n">
        <v>0</v>
      </c>
      <c r="F20" s="6">
        <f>ROUND(E20*3,0)</f>
        <v/>
      </c>
      <c r="G20" s="7" t="n"/>
      <c r="H20" s="5" t="n">
        <v>0</v>
      </c>
      <c r="I20" s="6">
        <f>ROUND(H20*3,0)</f>
        <v/>
      </c>
      <c r="J20" s="7" t="n"/>
    </row>
    <row r="21" ht="13.5" customHeight="1" s="91">
      <c r="A21" s="4" t="inlineStr">
        <is>
          <t>SSL / DNS</t>
        </is>
      </c>
      <c r="B21" s="5" t="n">
        <v>0</v>
      </c>
      <c r="C21" s="6">
        <f>ROUND(B21*3,0)</f>
        <v/>
      </c>
      <c r="D21" s="7" t="n"/>
      <c r="E21" s="5" t="n">
        <v>0</v>
      </c>
      <c r="F21" s="6">
        <f>ROUND(E21*3,0)</f>
        <v/>
      </c>
      <c r="G21" s="7" t="n"/>
      <c r="H21" s="5" t="n">
        <v>0</v>
      </c>
      <c r="I21" s="6">
        <f>ROUND(H21*3,0)</f>
        <v/>
      </c>
      <c r="J21" s="7" t="n"/>
    </row>
    <row r="22" ht="13.5" customHeight="1" s="91">
      <c r="A22" s="8" t="inlineStr">
        <is>
          <t xml:space="preserve">   Subtotal — NETWORKING &amp; SECURITY</t>
        </is>
      </c>
      <c r="B22" s="9">
        <f>SUM(B19:B21)</f>
        <v/>
      </c>
      <c r="C22" s="10">
        <f>SUM(C19:C21)</f>
        <v/>
      </c>
      <c r="D22" s="11" t="n">
        <v>10</v>
      </c>
      <c r="E22" s="9">
        <f>SUM(E19:E21)</f>
        <v/>
      </c>
      <c r="F22" s="10">
        <f>SUM(F19:F21)</f>
        <v/>
      </c>
      <c r="G22" s="11" t="n">
        <v>42</v>
      </c>
      <c r="H22" s="9">
        <f>SUM(H19:H21)</f>
        <v/>
      </c>
      <c r="I22" s="10">
        <f>SUM(I19:I21)</f>
        <v/>
      </c>
      <c r="J22" s="11" t="n">
        <v>112</v>
      </c>
    </row>
    <row r="23" ht="13.5" customHeight="1" s="91">
      <c r="A23" s="96" t="inlineStr">
        <is>
          <t>📊  MONITORING &amp; OBSERVABILITY</t>
        </is>
      </c>
      <c r="B23" s="97" t="n"/>
      <c r="C23" s="97" t="n"/>
      <c r="D23" s="97" t="n"/>
      <c r="E23" s="97" t="n"/>
      <c r="F23" s="97" t="n"/>
      <c r="G23" s="97" t="n"/>
      <c r="H23" s="97" t="n"/>
      <c r="I23" s="97" t="n"/>
      <c r="J23" s="97" t="n"/>
    </row>
    <row r="24" ht="13.5" customHeight="1" s="91">
      <c r="A24" s="4" t="inlineStr">
        <is>
          <t>Grafana + Loki + Prometheus</t>
        </is>
      </c>
      <c r="B24" s="5" t="n">
        <v>0</v>
      </c>
      <c r="C24" s="6">
        <f>ROUND(B24*3,0)</f>
        <v/>
      </c>
      <c r="D24" s="7" t="n"/>
      <c r="E24" s="5" t="n">
        <v>8</v>
      </c>
      <c r="F24" s="6">
        <f>ROUND(E24*3,0)</f>
        <v/>
      </c>
      <c r="G24" s="7" t="n"/>
      <c r="H24" s="5" t="n">
        <v>15</v>
      </c>
      <c r="I24" s="6">
        <f>ROUND(H24*3,0)</f>
        <v/>
      </c>
      <c r="J24" s="7" t="n"/>
    </row>
    <row r="25" ht="13.5" customHeight="1" s="91">
      <c r="A25" s="4" t="inlineStr">
        <is>
          <t>Error tracking (Sentry OSS)</t>
        </is>
      </c>
      <c r="B25" s="5" t="n">
        <v>0</v>
      </c>
      <c r="C25" s="6">
        <f>ROUND(B25*3,0)</f>
        <v/>
      </c>
      <c r="D25" s="7" t="n"/>
      <c r="E25" s="5" t="n">
        <v>0</v>
      </c>
      <c r="F25" s="6">
        <f>ROUND(E25*3,0)</f>
        <v/>
      </c>
      <c r="G25" s="7" t="n"/>
      <c r="H25" s="5" t="n">
        <v>0</v>
      </c>
      <c r="I25" s="6">
        <f>ROUND(H25*3,0)</f>
        <v/>
      </c>
      <c r="J25" s="7" t="n"/>
    </row>
    <row r="26" ht="13.5" customHeight="1" s="91">
      <c r="A26" s="4" t="inlineStr">
        <is>
          <t>Infisical (secrets)</t>
        </is>
      </c>
      <c r="B26" s="5" t="n">
        <v>0</v>
      </c>
      <c r="C26" s="6">
        <f>ROUND(B26*3,0)</f>
        <v/>
      </c>
      <c r="D26" s="7" t="n"/>
      <c r="E26" s="5" t="n">
        <v>0</v>
      </c>
      <c r="F26" s="6">
        <f>ROUND(E26*3,0)</f>
        <v/>
      </c>
      <c r="G26" s="7" t="n"/>
      <c r="H26" s="5" t="n">
        <v>0</v>
      </c>
      <c r="I26" s="6">
        <f>ROUND(H26*3,0)</f>
        <v/>
      </c>
      <c r="J26" s="7" t="n"/>
    </row>
    <row r="27" ht="13.5" customHeight="1" s="91">
      <c r="A27" s="8" t="inlineStr">
        <is>
          <t xml:space="preserve">   Subtotal — MONITORING &amp; OBSERVABILITY</t>
        </is>
      </c>
      <c r="B27" s="9">
        <f>SUM(B24:B26)</f>
        <v/>
      </c>
      <c r="C27" s="10">
        <f>SUM(C24:C26)</f>
        <v/>
      </c>
      <c r="D27" s="11" t="n">
        <v>1</v>
      </c>
      <c r="E27" s="9">
        <f>SUM(E24:E26)</f>
        <v/>
      </c>
      <c r="F27" s="10">
        <f>SUM(F24:F26)</f>
        <v/>
      </c>
      <c r="G27" s="11" t="n">
        <v>81</v>
      </c>
      <c r="H27" s="9">
        <f>SUM(H24:H26)</f>
        <v/>
      </c>
      <c r="I27" s="10">
        <f>SUM(I24:I26)</f>
        <v/>
      </c>
      <c r="J27" s="11" t="n">
        <v>303</v>
      </c>
    </row>
    <row r="28" ht="13.5" customHeight="1" s="91">
      <c r="A28" s="96" t="inlineStr">
        <is>
          <t>💾  STORAGE &amp; BACKUPS</t>
        </is>
      </c>
      <c r="B28" s="97" t="n"/>
      <c r="C28" s="97" t="n"/>
      <c r="D28" s="97" t="n"/>
      <c r="E28" s="97" t="n"/>
      <c r="F28" s="97" t="n"/>
      <c r="G28" s="97" t="n"/>
      <c r="H28" s="97" t="n"/>
      <c r="I28" s="97" t="n"/>
      <c r="J28" s="97" t="n"/>
    </row>
    <row r="29" ht="13.5" customHeight="1" s="91">
      <c r="A29" s="4" t="inlineStr">
        <is>
          <t>Container registry</t>
        </is>
      </c>
      <c r="B29" s="5" t="n">
        <v>2</v>
      </c>
      <c r="C29" s="6">
        <f>ROUND(B29*3,0)</f>
        <v/>
      </c>
      <c r="D29" s="7" t="n"/>
      <c r="E29" s="5" t="n">
        <v>2</v>
      </c>
      <c r="F29" s="6">
        <f>ROUND(E29*3,0)</f>
        <v/>
      </c>
      <c r="G29" s="7" t="n"/>
      <c r="H29" s="5" t="n">
        <v>3</v>
      </c>
      <c r="I29" s="6">
        <f>ROUND(H29*3,0)</f>
        <v/>
      </c>
      <c r="J29" s="7" t="n"/>
    </row>
    <row r="30" ht="13.5" customHeight="1" s="91">
      <c r="A30" s="4" t="inlineStr">
        <is>
          <t>Object storage / backups</t>
        </is>
      </c>
      <c r="B30" s="5" t="n">
        <v>2</v>
      </c>
      <c r="C30" s="6">
        <f>ROUND(B30*3,0)</f>
        <v/>
      </c>
      <c r="D30" s="7" t="n"/>
      <c r="E30" s="5" t="n">
        <v>3</v>
      </c>
      <c r="F30" s="6">
        <f>ROUND(E30*3,0)</f>
        <v/>
      </c>
      <c r="G30" s="7" t="n"/>
      <c r="H30" s="5" t="n">
        <v>8</v>
      </c>
      <c r="I30" s="6">
        <f>ROUND(H30*3,0)</f>
        <v/>
      </c>
      <c r="J30" s="7" t="n"/>
    </row>
    <row r="31" ht="13.5" customHeight="1" s="91">
      <c r="A31" s="8" t="inlineStr">
        <is>
          <t xml:space="preserve">   Subtotal — STORAGE &amp; BACKUPS</t>
        </is>
      </c>
      <c r="B31" s="9">
        <f>SUM(B29:B30)</f>
        <v/>
      </c>
      <c r="C31" s="10">
        <f>SUM(C29:C30)</f>
        <v/>
      </c>
      <c r="D31" s="11" t="n">
        <v>10</v>
      </c>
      <c r="E31" s="9">
        <f>SUM(E29:E30)</f>
        <v/>
      </c>
      <c r="F31" s="10">
        <f>SUM(F29:F30)</f>
        <v/>
      </c>
      <c r="G31" s="11" t="n">
        <v>20</v>
      </c>
      <c r="H31" s="9">
        <f>SUM(H29:H30)</f>
        <v/>
      </c>
      <c r="I31" s="10">
        <f>SUM(I29:I30)</f>
        <v/>
      </c>
      <c r="J31" s="11" t="n">
        <v>110</v>
      </c>
    </row>
    <row r="32" ht="13.5" customHeight="1" s="91">
      <c r="A32" s="96" t="inlineStr">
        <is>
          <t>🌍  FRONTEND &amp; CDN</t>
        </is>
      </c>
      <c r="B32" s="97" t="n"/>
      <c r="C32" s="97" t="n"/>
      <c r="D32" s="97" t="n"/>
      <c r="E32" s="97" t="n"/>
      <c r="F32" s="97" t="n"/>
      <c r="G32" s="97" t="n"/>
      <c r="H32" s="97" t="n"/>
      <c r="I32" s="97" t="n"/>
      <c r="J32" s="97" t="n"/>
    </row>
    <row r="33" ht="13.5" customHeight="1" s="91">
      <c r="A33" s="4" t="inlineStr">
        <is>
          <t>Web frontend (Coolify)</t>
        </is>
      </c>
      <c r="B33" s="5" t="n">
        <v>0</v>
      </c>
      <c r="C33" s="6">
        <f>ROUND(B33*3,0)</f>
        <v/>
      </c>
      <c r="D33" s="7" t="n"/>
      <c r="E33" s="5" t="n">
        <v>0</v>
      </c>
      <c r="F33" s="6">
        <f>ROUND(E33*3,0)</f>
        <v/>
      </c>
      <c r="G33" s="7" t="n"/>
      <c r="H33" s="5" t="n">
        <v>5</v>
      </c>
      <c r="I33" s="6">
        <f>ROUND(H33*3,0)</f>
        <v/>
      </c>
      <c r="J33" s="7" t="n"/>
    </row>
    <row r="34" ht="13.5" customHeight="1" s="91">
      <c r="A34" s="4" t="inlineStr">
        <is>
          <t>CDN (Cloudflare free)</t>
        </is>
      </c>
      <c r="B34" s="5" t="n">
        <v>0</v>
      </c>
      <c r="C34" s="6">
        <f>ROUND(B34*3,0)</f>
        <v/>
      </c>
      <c r="D34" s="7" t="n"/>
      <c r="E34" s="5" t="n">
        <v>0</v>
      </c>
      <c r="F34" s="6">
        <f>ROUND(E34*3,0)</f>
        <v/>
      </c>
      <c r="G34" s="7" t="n"/>
      <c r="H34" s="5" t="n">
        <v>0</v>
      </c>
      <c r="I34" s="6">
        <f>ROUND(H34*3,0)</f>
        <v/>
      </c>
      <c r="J34" s="7" t="n"/>
    </row>
    <row r="35" ht="13.5" customHeight="1" s="91">
      <c r="A35" s="8" t="inlineStr">
        <is>
          <t xml:space="preserve">   Subtotal — FRONTEND &amp; CDN</t>
        </is>
      </c>
      <c r="B35" s="9">
        <f>SUM(B33:B34)</f>
        <v/>
      </c>
      <c r="C35" s="10">
        <f>SUM(C33:C34)</f>
        <v/>
      </c>
      <c r="D35" s="11" t="n">
        <v>0</v>
      </c>
      <c r="E35" s="9">
        <f>SUM(E33:E34)</f>
        <v/>
      </c>
      <c r="F35" s="10">
        <f>SUM(F33:F34)</f>
        <v/>
      </c>
      <c r="G35" s="11" t="n">
        <v>10</v>
      </c>
      <c r="H35" s="9">
        <f>SUM(H33:H34)</f>
        <v/>
      </c>
      <c r="I35" s="10">
        <f>SUM(I33:I34)</f>
        <v/>
      </c>
      <c r="J35" s="11" t="n">
        <v>50</v>
      </c>
    </row>
    <row r="36" ht="15.75" customHeight="1" s="91"/>
    <row r="37" ht="15.75" customHeight="1" s="91">
      <c r="A37" s="104" t="inlineStr">
        <is>
          <t>HOSTABLE INFRASTRUCTURE TOTALS  (External APIs excluded)</t>
        </is>
      </c>
      <c r="B37" s="97" t="n"/>
      <c r="C37" s="97" t="n"/>
      <c r="D37" s="97" t="n"/>
      <c r="E37" s="97" t="n"/>
      <c r="F37" s="97" t="n"/>
      <c r="G37" s="97" t="n"/>
      <c r="H37" s="97" t="n"/>
      <c r="I37" s="97" t="n"/>
      <c r="J37" s="97" t="n"/>
    </row>
    <row r="38" ht="21.75" customHeight="1" s="91">
      <c r="A38" s="12" t="inlineStr">
        <is>
          <t>Hostable Infra Totals</t>
        </is>
      </c>
      <c r="B38" s="13">
        <f>B12+B17+B22+B27+B31+B35</f>
        <v/>
      </c>
      <c r="C38" s="14">
        <f>C12+C17+C22+C27+C31+C35</f>
        <v/>
      </c>
      <c r="D38" s="15" t="n">
        <v>340</v>
      </c>
      <c r="E38" s="13">
        <f>E12+E17+E22+E27+E31+E35</f>
        <v/>
      </c>
      <c r="F38" s="14">
        <f>F12+F17+F22+F27+F31+F35</f>
        <v/>
      </c>
      <c r="G38" s="15" t="n">
        <v>1079</v>
      </c>
      <c r="H38" s="13">
        <f>H12+H17+H22+H27+H31+H35</f>
        <v/>
      </c>
      <c r="I38" s="14">
        <f>I12+I17+I22+I27+I31+I35</f>
        <v/>
      </c>
      <c r="J38" s="15" t="n">
        <v>3178</v>
      </c>
    </row>
    <row r="39" ht="15.75" customHeight="1" s="91"/>
    <row r="40" ht="15.75" customHeight="1" s="91">
      <c r="A40" s="101" t="inlineStr">
        <is>
          <t>⚡  EXTERNAL APIS — PASSED THROUGH AT COST  ·  Identical regardless of infrastructure provider</t>
        </is>
      </c>
      <c r="B40" s="97" t="n"/>
      <c r="C40" s="97" t="n"/>
      <c r="D40" s="97" t="n"/>
      <c r="E40" s="97" t="n"/>
      <c r="F40" s="97" t="n"/>
      <c r="G40" s="97" t="n"/>
      <c r="H40" s="97" t="n"/>
      <c r="I40" s="97" t="n"/>
      <c r="J40" s="97" t="n"/>
    </row>
    <row r="41" ht="13.5" customHeight="1" s="91">
      <c r="A41" s="16" t="inlineStr">
        <is>
          <t>Helius RPC (Solana)</t>
        </is>
      </c>
      <c r="B41" s="17" t="n">
        <v>49</v>
      </c>
      <c r="C41" s="17" t="n">
        <v>49</v>
      </c>
      <c r="D41" s="17" t="n">
        <v>49</v>
      </c>
      <c r="E41" s="17" t="n">
        <v>499</v>
      </c>
      <c r="F41" s="17" t="n">
        <v>499</v>
      </c>
      <c r="G41" s="17" t="n">
        <v>499</v>
      </c>
      <c r="H41" s="17" t="n">
        <v>999</v>
      </c>
      <c r="I41" s="17" t="n">
        <v>999</v>
      </c>
      <c r="J41" s="17" t="n">
        <v>999</v>
      </c>
    </row>
    <row r="42" ht="13.5" customHeight="1" s="91">
      <c r="A42" s="16" t="inlineStr">
        <is>
          <t>Anthropic Claude Sonnet</t>
        </is>
      </c>
      <c r="B42" s="17" t="n">
        <v>50</v>
      </c>
      <c r="C42" s="17" t="n">
        <v>50</v>
      </c>
      <c r="D42" s="17" t="n">
        <v>50</v>
      </c>
      <c r="E42" s="17" t="n">
        <v>400</v>
      </c>
      <c r="F42" s="17" t="n">
        <v>400</v>
      </c>
      <c r="G42" s="17" t="n">
        <v>400</v>
      </c>
      <c r="H42" s="17" t="n">
        <v>3000</v>
      </c>
      <c r="I42" s="17" t="n">
        <v>3000</v>
      </c>
      <c r="J42" s="17" t="n">
        <v>3000</v>
      </c>
    </row>
    <row r="43" ht="13.5" customHeight="1" s="91">
      <c r="A43" s="16" t="inlineStr">
        <is>
          <t>Google Gemini Flash</t>
        </is>
      </c>
      <c r="B43" s="17" t="n">
        <v>5</v>
      </c>
      <c r="C43" s="17" t="n">
        <v>5</v>
      </c>
      <c r="D43" s="17" t="n">
        <v>5</v>
      </c>
      <c r="E43" s="17" t="n">
        <v>20</v>
      </c>
      <c r="F43" s="17" t="n">
        <v>20</v>
      </c>
      <c r="G43" s="17" t="n">
        <v>20</v>
      </c>
      <c r="H43" s="17" t="n">
        <v>80</v>
      </c>
      <c r="I43" s="17" t="n">
        <v>80</v>
      </c>
      <c r="J43" s="17" t="n">
        <v>80</v>
      </c>
    </row>
    <row r="44" ht="13.5" customHeight="1" s="91">
      <c r="A44" s="16" t="inlineStr">
        <is>
          <t>Twitter / X API</t>
        </is>
      </c>
      <c r="B44" s="17" t="n">
        <v>129</v>
      </c>
      <c r="C44" s="17" t="n">
        <v>129</v>
      </c>
      <c r="D44" s="17" t="n">
        <v>129</v>
      </c>
      <c r="E44" s="17" t="n">
        <v>546</v>
      </c>
      <c r="F44" s="17" t="n">
        <v>546</v>
      </c>
      <c r="G44" s="17" t="n">
        <v>546</v>
      </c>
      <c r="H44" s="17" t="n">
        <v>1440</v>
      </c>
      <c r="I44" s="17" t="n">
        <v>1440</v>
      </c>
      <c r="J44" s="17" t="n">
        <v>1440</v>
      </c>
    </row>
    <row r="45" ht="13.5" customHeight="1" s="91">
      <c r="A45" s="16" t="inlineStr">
        <is>
          <t>DexScreener (free tier)</t>
        </is>
      </c>
      <c r="B45" s="17" t="n">
        <v>0</v>
      </c>
      <c r="C45" s="17" t="n">
        <v>0</v>
      </c>
      <c r="D45" s="17" t="n">
        <v>0</v>
      </c>
      <c r="E45" s="17" t="n">
        <v>0</v>
      </c>
      <c r="F45" s="17" t="n">
        <v>0</v>
      </c>
      <c r="G45" s="17" t="n">
        <v>0</v>
      </c>
      <c r="H45" s="17" t="n">
        <v>0</v>
      </c>
      <c r="I45" s="17" t="n">
        <v>0</v>
      </c>
      <c r="J45" s="17" t="n">
        <v>0</v>
      </c>
    </row>
    <row r="46" ht="15.75" customHeight="1" s="91">
      <c r="A46" s="18" t="inlineStr">
        <is>
          <t>External API Subtotal</t>
        </is>
      </c>
      <c r="B46" s="19">
        <f>SUM(B41:B45)</f>
        <v/>
      </c>
      <c r="C46" s="19">
        <f>SUM(C41:C45)</f>
        <v/>
      </c>
      <c r="D46" s="19">
        <f>SUM(D41:D45)</f>
        <v/>
      </c>
      <c r="E46" s="19">
        <f>SUM(E41:E45)</f>
        <v/>
      </c>
      <c r="F46" s="19">
        <f>SUM(F41:F45)</f>
        <v/>
      </c>
      <c r="G46" s="19">
        <f>SUM(G41:G45)</f>
        <v/>
      </c>
      <c r="H46" s="19">
        <f>SUM(H41:H45)</f>
        <v/>
      </c>
      <c r="I46" s="19">
        <f>SUM(I41:I45)</f>
        <v/>
      </c>
      <c r="J46" s="19">
        <f>SUM(J41:J45)</f>
        <v/>
      </c>
    </row>
    <row r="47" ht="15.75" customHeight="1" s="91"/>
    <row r="48" ht="19.5" customHeight="1" s="91">
      <c r="A48" s="105" t="inlineStr">
        <is>
          <t>TOTAL MONTHLY COST SUMMARY</t>
        </is>
      </c>
      <c r="B48" s="97" t="n"/>
      <c r="C48" s="97" t="n"/>
      <c r="D48" s="97" t="n"/>
      <c r="E48" s="97" t="n"/>
      <c r="F48" s="97" t="n"/>
      <c r="G48" s="97" t="n"/>
      <c r="H48" s="97" t="n"/>
      <c r="I48" s="97" t="n"/>
      <c r="J48" s="97" t="n"/>
    </row>
    <row r="49" ht="25.5" customHeight="1" s="91">
      <c r="A49" s="20" t="inlineStr">
        <is>
          <t>SC.io Managed Total  →  what client (CRM Project Allocation) pays</t>
        </is>
      </c>
      <c r="B49" s="21" t="n"/>
      <c r="C49" s="22">
        <f>C38+C46</f>
        <v/>
      </c>
      <c r="D49" s="21" t="n"/>
      <c r="E49" s="21" t="n"/>
      <c r="F49" s="22">
        <f>F38+F46</f>
        <v/>
      </c>
      <c r="G49" s="21" t="n"/>
      <c r="H49" s="21" t="n"/>
      <c r="I49" s="22">
        <f>I38+I46</f>
        <v/>
      </c>
      <c r="J49" s="21" t="n"/>
    </row>
    <row r="50" ht="25.5" customHeight="1" s="91">
      <c r="A50" s="23" t="inlineStr">
        <is>
          <t>GCP Total  (their current model)</t>
        </is>
      </c>
      <c r="B50" s="7" t="n"/>
      <c r="C50" s="7" t="n"/>
      <c r="D50" s="24" t="n">
        <v>444</v>
      </c>
      <c r="E50" s="7" t="n"/>
      <c r="F50" s="7" t="n"/>
      <c r="G50" s="24" t="n">
        <v>1848</v>
      </c>
      <c r="H50" s="7" t="n"/>
      <c r="I50" s="7" t="n"/>
      <c r="J50" s="24" t="n">
        <v>7457</v>
      </c>
    </row>
    <row r="51" ht="21.75" customHeight="1" s="91">
      <c r="A51" s="25" t="inlineStr">
        <is>
          <t>Your raw Hetzner cost  (internal reference)</t>
        </is>
      </c>
      <c r="B51" s="13">
        <f>B38+B46</f>
        <v/>
      </c>
      <c r="C51" s="26" t="n"/>
      <c r="D51" s="26" t="n"/>
      <c r="E51" s="13">
        <f>E38+E46</f>
        <v/>
      </c>
      <c r="F51" s="26" t="n"/>
      <c r="G51" s="26" t="n"/>
      <c r="H51" s="13">
        <f>H38+H46</f>
        <v/>
      </c>
      <c r="I51" s="26" t="n"/>
      <c r="J51" s="26" t="n"/>
    </row>
    <row r="52" ht="15.75" customHeight="1" s="91"/>
    <row r="53" ht="15.75" customHeight="1" s="91">
      <c r="A53" s="100" t="inlineStr">
        <is>
          <t>KEY METRICS</t>
        </is>
      </c>
      <c r="B53" s="97" t="n"/>
      <c r="C53" s="97" t="n"/>
      <c r="D53" s="97" t="n"/>
      <c r="E53" s="97" t="n"/>
      <c r="F53" s="97" t="n"/>
      <c r="G53" s="97" t="n"/>
      <c r="H53" s="97" t="n"/>
      <c r="I53" s="97" t="n"/>
      <c r="J53" s="97" t="n"/>
    </row>
    <row r="54" ht="24" customHeight="1" s="91">
      <c r="A54" s="27" t="inlineStr">
        <is>
          <t>💰  Client saves vs GCP</t>
        </is>
      </c>
      <c r="B54" s="28" t="n"/>
      <c r="C54" s="29">
        <f>D50-C49</f>
        <v/>
      </c>
      <c r="D54" s="28" t="n"/>
      <c r="E54" s="28" t="n"/>
      <c r="F54" s="29">
        <f>G50-F49</f>
        <v/>
      </c>
      <c r="G54" s="28" t="n"/>
      <c r="H54" s="28" t="n"/>
      <c r="I54" s="29">
        <f>J50-I49</f>
        <v/>
      </c>
      <c r="J54" s="28" t="n"/>
    </row>
    <row r="55" ht="24" customHeight="1" s="91">
      <c r="A55" s="27" t="inlineStr">
        <is>
          <t>📉  % below GCP</t>
        </is>
      </c>
      <c r="B55" s="28" t="n"/>
      <c r="C55" s="30">
        <f>C54/D50</f>
        <v/>
      </c>
      <c r="D55" s="28" t="n"/>
      <c r="E55" s="28" t="n"/>
      <c r="F55" s="30">
        <f>F54/G50</f>
        <v/>
      </c>
      <c r="G55" s="28" t="n"/>
      <c r="H55" s="28" t="n"/>
      <c r="I55" s="30">
        <f>I54/J50</f>
        <v/>
      </c>
      <c r="J55" s="28" t="n"/>
    </row>
    <row r="56" ht="24" customHeight="1" s="91">
      <c r="A56" s="31" t="inlineStr">
        <is>
          <t>🏦  Your gross margin  (on hostable infra, excl. pass-through APIs)</t>
        </is>
      </c>
      <c r="B56" s="32" t="n"/>
      <c r="C56" s="33">
        <f>(C38-B38)/C38</f>
        <v/>
      </c>
      <c r="D56" s="32" t="n"/>
      <c r="E56" s="32" t="n"/>
      <c r="F56" s="33">
        <f>(F38-E38)/F38</f>
        <v/>
      </c>
      <c r="G56" s="32" t="n"/>
      <c r="H56" s="32" t="n"/>
      <c r="I56" s="33">
        <f>(I38-H38)/I38</f>
        <v/>
      </c>
      <c r="J56" s="32" t="n"/>
    </row>
    <row r="57" ht="15.75" customHeight="1" s="91"/>
    <row r="58" ht="15.75" customHeight="1" s="91"/>
    <row r="59" ht="15.75" customHeight="1" s="91">
      <c r="A59" s="104" t="inlineStr">
        <is>
          <t>✅  INCLUDED IN SERVERCARE.IO ENTERPRISE MANAGED HOSTING</t>
        </is>
      </c>
      <c r="B59" s="97" t="n"/>
      <c r="C59" s="97" t="n"/>
      <c r="D59" s="97" t="n"/>
      <c r="E59" s="97" t="n"/>
      <c r="F59" s="97" t="n"/>
      <c r="G59" s="97" t="n"/>
      <c r="H59" s="97" t="n"/>
      <c r="I59" s="97" t="n"/>
      <c r="J59" s="97" t="n"/>
    </row>
    <row r="60" ht="24" customHeight="1" s="91">
      <c r="A60" s="98" t="inlineStr">
        <is>
          <t>🛠️  Infrastructure Management</t>
        </is>
      </c>
      <c r="B60" s="97" t="n"/>
      <c r="C60" s="99" t="inlineStr">
        <is>
          <t>Coolify-managed stack on Hetzner EU. Zero-downtime deploys, rollback, environment isolation (dev/staging/prod). No GCP lock-in.</t>
        </is>
      </c>
      <c r="D60" s="97" t="n"/>
      <c r="E60" s="97" t="n"/>
      <c r="F60" s="97" t="n"/>
      <c r="G60" s="97" t="n"/>
      <c r="H60" s="97" t="n"/>
      <c r="I60" s="97" t="n"/>
      <c r="J60" s="97" t="n"/>
    </row>
    <row r="61" ht="24" customHeight="1" s="91">
      <c r="A61" s="98" t="inlineStr">
        <is>
          <t>📊  Monitoring &amp; Alerting 24/7</t>
        </is>
      </c>
      <c r="B61" s="97" t="n"/>
      <c r="C61" s="99" t="inlineStr">
        <is>
          <t>Grafana + Loki + Prometheus. Discord/Telegram alerts. Log retention policies. Custom dashboards per service.</t>
        </is>
      </c>
      <c r="D61" s="97" t="n"/>
      <c r="E61" s="97" t="n"/>
      <c r="F61" s="97" t="n"/>
      <c r="G61" s="97" t="n"/>
      <c r="H61" s="97" t="n"/>
      <c r="I61" s="97" t="n"/>
      <c r="J61" s="97" t="n"/>
    </row>
    <row r="62" ht="24" customHeight="1" s="91">
      <c r="A62" s="98" t="inlineStr">
        <is>
          <t>🔐  Security &amp; Secrets</t>
        </is>
      </c>
      <c r="B62" s="97" t="n"/>
      <c r="C62" s="99" t="inlineStr">
        <is>
          <t>Infisical secrets management. Hetzner firewall + Cloudflare WAF. Regular security patching and OS updates.</t>
        </is>
      </c>
      <c r="D62" s="97" t="n"/>
      <c r="E62" s="97" t="n"/>
      <c r="F62" s="97" t="n"/>
      <c r="G62" s="97" t="n"/>
      <c r="H62" s="97" t="n"/>
      <c r="I62" s="97" t="n"/>
      <c r="J62" s="97" t="n"/>
    </row>
    <row r="63" ht="24" customHeight="1" s="91">
      <c r="A63" s="98" t="inlineStr">
        <is>
          <t>💾  Backup &amp; Disaster Recovery</t>
        </is>
      </c>
      <c r="B63" s="97" t="n"/>
      <c r="C63" s="99" t="inlineStr">
        <is>
          <t>Automated daily Postgres snapshots. Hetzner volume backups. Cross-DC replication available. 7-day retention minimum.</t>
        </is>
      </c>
      <c r="D63" s="97" t="n"/>
      <c r="E63" s="97" t="n"/>
      <c r="F63" s="97" t="n"/>
      <c r="G63" s="97" t="n"/>
      <c r="H63" s="97" t="n"/>
      <c r="I63" s="97" t="n"/>
      <c r="J63" s="97" t="n"/>
    </row>
    <row r="64" ht="24" customHeight="1" s="91">
      <c r="A64" s="98" t="inlineStr">
        <is>
          <t>⚡  Scaling Support</t>
        </is>
      </c>
      <c r="B64" s="97" t="n"/>
      <c r="C64" s="99" t="inlineStr">
        <is>
          <t>Vertical + horizontal scaling guidance. Auction/spot strategy for non-critical workers. Monthly cost optimization review.</t>
        </is>
      </c>
      <c r="D64" s="97" t="n"/>
      <c r="E64" s="97" t="n"/>
      <c r="F64" s="97" t="n"/>
      <c r="G64" s="97" t="n"/>
      <c r="H64" s="97" t="n"/>
      <c r="I64" s="97" t="n"/>
      <c r="J64" s="97" t="n"/>
    </row>
    <row r="65" ht="24" customHeight="1" s="91">
      <c r="A65" s="98" t="inlineStr">
        <is>
          <t>🔄  CI/CD Pipeline</t>
        </is>
      </c>
      <c r="B65" s="97" t="n"/>
      <c r="C65" s="99" t="inlineStr">
        <is>
          <t>GitHub Actions integration with Coolify. Branch-based deploy previews. Blue/green deployment support.</t>
        </is>
      </c>
      <c r="D65" s="97" t="n"/>
      <c r="E65" s="97" t="n"/>
      <c r="F65" s="97" t="n"/>
      <c r="G65" s="97" t="n"/>
      <c r="H65" s="97" t="n"/>
      <c r="I65" s="97" t="n"/>
      <c r="J65" s="97" t="n"/>
    </row>
    <row r="66" ht="24" customHeight="1" s="91">
      <c r="A66" s="98" t="inlineStr">
        <is>
          <t>📞  Dedicated Support Channel</t>
        </is>
      </c>
      <c r="B66" s="97" t="n"/>
      <c r="C66" s="99" t="inlineStr">
        <is>
          <t>Priority Discord/Telegram. Incident response SLA. Monthly infrastructure review call included.</t>
        </is>
      </c>
      <c r="D66" s="97" t="n"/>
      <c r="E66" s="97" t="n"/>
      <c r="F66" s="97" t="n"/>
      <c r="G66" s="97" t="n"/>
      <c r="H66" s="97" t="n"/>
      <c r="I66" s="97" t="n"/>
      <c r="J66" s="97" t="n"/>
    </row>
    <row r="67" ht="24" customHeight="1" s="91">
      <c r="A67" s="98" t="inlineStr">
        <is>
          <t>🧾  Full Cost Transparency</t>
        </is>
      </c>
      <c r="B67" s="97" t="n"/>
      <c r="C67" s="99" t="inlineStr">
        <is>
          <t>Monthly raw Hetzner invoice shared. You see exactly what hardware costs. Margin is flat, agreed upfront — zero hidden fees.</t>
        </is>
      </c>
      <c r="D67" s="97" t="n"/>
      <c r="E67" s="97" t="n"/>
      <c r="F67" s="97" t="n"/>
      <c r="G67" s="97" t="n"/>
      <c r="H67" s="97" t="n"/>
      <c r="I67" s="97" t="n"/>
      <c r="J67" s="97" t="n"/>
    </row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33">
    <mergeCell ref="A5:J5"/>
    <mergeCell ref="A23:J23"/>
    <mergeCell ref="A32:J32"/>
    <mergeCell ref="A64:B64"/>
    <mergeCell ref="A60:B60"/>
    <mergeCell ref="C62:J62"/>
    <mergeCell ref="A53:J53"/>
    <mergeCell ref="A61:B61"/>
    <mergeCell ref="A28:J28"/>
    <mergeCell ref="A13:J13"/>
    <mergeCell ref="C64:J64"/>
    <mergeCell ref="A65:B65"/>
    <mergeCell ref="A40:J40"/>
    <mergeCell ref="C65:J65"/>
    <mergeCell ref="C63:J63"/>
    <mergeCell ref="A3:A4"/>
    <mergeCell ref="A66:B66"/>
    <mergeCell ref="A59:J59"/>
    <mergeCell ref="A48:J48"/>
    <mergeCell ref="H3:J3"/>
    <mergeCell ref="A1:J1"/>
    <mergeCell ref="C60:J60"/>
    <mergeCell ref="E3:G3"/>
    <mergeCell ref="C61:J61"/>
    <mergeCell ref="A62:B62"/>
    <mergeCell ref="A37:J37"/>
    <mergeCell ref="B3:D3"/>
    <mergeCell ref="C67:J67"/>
    <mergeCell ref="A18:J18"/>
    <mergeCell ref="A63:B63"/>
    <mergeCell ref="C66:J66"/>
    <mergeCell ref="A2:J2"/>
    <mergeCell ref="A67:B67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2"/>
  <sheetViews>
    <sheetView tabSelected="1" topLeftCell="A3" zoomScaleNormal="100" workbookViewId="0">
      <selection activeCell="I23" sqref="I23"/>
    </sheetView>
  </sheetViews>
  <sheetFormatPr baseColWidth="10" defaultColWidth="8.6640625" defaultRowHeight="15"/>
  <cols>
    <col width="48" customWidth="1" style="91" min="1" max="1"/>
    <col width="20" customWidth="1" style="91" min="2" max="5"/>
    <col width="48" customWidth="1" style="91" min="6" max="6"/>
  </cols>
  <sheetData>
    <row r="1" ht="27.75" customHeight="1" s="91">
      <c r="A1" s="95" t="inlineStr">
        <is>
          <t>$CRM TOKEN HOLDER PRICING  —  Discount Tiers &amp; Revenue Impact</t>
        </is>
      </c>
    </row>
    <row r="2">
      <c r="A2" s="34" t="inlineStr">
        <is>
          <t>Blue = assumptions  |  Yellow = key inputs  |  Models how token holder discounts affect revenue while driving buy pressure</t>
        </is>
      </c>
    </row>
    <row r="4" ht="24" customHeight="1" s="91">
      <c r="A4" s="94" t="inlineStr">
        <is>
          <t>🪙  $CRM TOKEN ASSUMPTIONS</t>
        </is>
      </c>
    </row>
    <row r="5">
      <c r="A5" s="35" t="inlineStr">
        <is>
          <t>Current $CRM token price (USD)</t>
        </is>
      </c>
      <c r="B5" s="36" t="n">
        <v>0.00029971</v>
      </c>
      <c r="F5" s="34" t="inlineStr">
        <is>
          <t>← Adjust to current market price</t>
        </is>
      </c>
    </row>
    <row r="6">
      <c r="A6" s="35" t="inlineStr">
        <is>
          <t>Total $CRM supply</t>
        </is>
      </c>
      <c r="B6" s="37" t="n">
        <v>1000000000</v>
      </c>
      <c r="F6" s="34" t="inlineStr">
        <is>
          <t>← 1B total supply</t>
        </is>
      </c>
    </row>
    <row r="7">
      <c r="A7" s="35" t="inlineStr">
        <is>
          <t>Circulating supply</t>
        </is>
      </c>
      <c r="B7" s="37" t="n">
        <v>800000000</v>
      </c>
    </row>
    <row r="8">
      <c r="A8" s="35" t="inlineStr">
        <is>
          <t>Fully diluted market cap</t>
        </is>
      </c>
      <c r="B8" s="38">
        <f>B5*B6</f>
        <v/>
      </c>
    </row>
    <row r="9">
      <c r="A9" s="35" t="inlineStr">
        <is>
          <t>Circulating market cap</t>
        </is>
      </c>
      <c r="B9" s="38">
        <f>B5*B7</f>
        <v/>
      </c>
    </row>
    <row r="11" ht="24" customHeight="1" s="91">
      <c r="A11" s="94" t="inlineStr">
        <is>
          <t>🏆  HOLDER TIER DEFINITIONS  —  Token thresholds &amp; discounts</t>
        </is>
      </c>
    </row>
    <row r="12">
      <c r="A12" s="34" t="inlineStr">
        <is>
          <t>Each tier requires holding a minimum number of $CRM tokens. Higher holdings = deeper discounts + more features.</t>
        </is>
      </c>
    </row>
    <row r="14">
      <c r="A14" s="39" t="n"/>
      <c r="B14" s="40" t="inlineStr">
        <is>
          <t>🥉 Bronze</t>
        </is>
      </c>
      <c r="C14" s="41" t="inlineStr">
        <is>
          <t>🥈 Silver</t>
        </is>
      </c>
      <c r="D14" s="42" t="inlineStr">
        <is>
          <t>🥇 Gold</t>
        </is>
      </c>
      <c r="E14" s="43" t="inlineStr">
        <is>
          <t>💎 Diamond</t>
        </is>
      </c>
    </row>
    <row r="15">
      <c r="A15" s="35" t="inlineStr">
        <is>
          <t>Min. $CRM tokens to hold</t>
        </is>
      </c>
      <c r="B15" s="37" t="n">
        <v>100000</v>
      </c>
      <c r="C15" s="37" t="n">
        <v>500000</v>
      </c>
      <c r="D15" s="37" t="n">
        <v>2000000</v>
      </c>
      <c r="E15" s="37" t="n">
        <v>10000000</v>
      </c>
    </row>
    <row r="16">
      <c r="A16" s="35" t="inlineStr">
        <is>
          <t>Token value at current price (buy-in cost)</t>
        </is>
      </c>
      <c r="B16" s="44">
        <f>B15*$B$5</f>
        <v/>
      </c>
      <c r="C16" s="44">
        <f>C15*$B$5</f>
        <v/>
      </c>
      <c r="D16" s="44">
        <f>D15*$B$5</f>
        <v/>
      </c>
      <c r="E16" s="44">
        <f>E15*$B$5</f>
        <v/>
      </c>
      <c r="F16" s="34" t="inlineStr">
        <is>
          <t>← What the holder 'locks up' to qualify</t>
        </is>
      </c>
    </row>
    <row r="17">
      <c r="A17" s="35" t="inlineStr">
        <is>
          <t>% of circulating supply</t>
        </is>
      </c>
      <c r="B17" s="45">
        <f>B15/$B$7</f>
        <v/>
      </c>
      <c r="C17" s="45">
        <f>C15/$B$7</f>
        <v/>
      </c>
      <c r="D17" s="45">
        <f>D15/$B$7</f>
        <v/>
      </c>
      <c r="E17" s="45">
        <f>E15/$B$7</f>
        <v/>
      </c>
    </row>
    <row r="18">
      <c r="A18" s="35" t="inlineStr">
        <is>
          <t>Discount on subscription pricing</t>
        </is>
      </c>
      <c r="B18" s="46" t="n">
        <v>0.1</v>
      </c>
      <c r="C18" s="46" t="n">
        <v>0.2</v>
      </c>
      <c r="D18" s="46" t="n">
        <v>0.35</v>
      </c>
      <c r="E18" s="46" t="n">
        <v>0.5</v>
      </c>
      <c r="F18" s="34" t="inlineStr">
        <is>
          <t>← Core lever: bigger bag = bigger discount</t>
        </is>
      </c>
    </row>
    <row r="20">
      <c r="A20" s="39" t="inlineStr">
        <is>
          <t>FEATURE UNLOCKS</t>
        </is>
      </c>
      <c r="B20" s="65" t="inlineStr">
        <is>
          <t>Scan cards, basic alerts</t>
        </is>
      </c>
      <c r="C20" s="65" t="inlineStr">
        <is>
          <t>+ Portfolio, wallet tracking</t>
        </is>
      </c>
      <c r="D20" s="65" t="inlineStr">
        <is>
          <t>+ Deep analysis, AI, API access</t>
        </is>
      </c>
      <c r="E20" s="65" t="inlineStr">
        <is>
          <t>+ Beta, unlimited, priority support</t>
        </is>
      </c>
    </row>
    <row r="21">
      <c r="A21" s="35" t="n"/>
      <c r="B21" s="35" t="n"/>
      <c r="C21" s="35" t="n"/>
      <c r="D21" s="35" t="n"/>
      <c r="E21" s="35" t="n"/>
    </row>
    <row r="22">
      <c r="A22" s="35" t="n"/>
      <c r="B22" s="35" t="n"/>
      <c r="C22" s="35" t="n"/>
      <c r="D22" s="35" t="n"/>
      <c r="E22" s="35" t="n"/>
    </row>
    <row r="23">
      <c r="A23" s="35" t="n"/>
      <c r="B23" s="35" t="n"/>
      <c r="C23" s="35" t="n"/>
      <c r="D23" s="35" t="n"/>
      <c r="E23" s="35" t="n"/>
    </row>
    <row r="24">
      <c r="A24" s="35" t="n"/>
      <c r="B24" s="35" t="n"/>
      <c r="C24" s="35" t="n"/>
      <c r="D24" s="35" t="n"/>
      <c r="E24" s="35" t="n"/>
    </row>
    <row r="25">
      <c r="A25" s="35" t="n"/>
      <c r="B25" s="35" t="n"/>
      <c r="C25" s="35" t="n"/>
      <c r="D25" s="35" t="n"/>
      <c r="E25" s="35" t="n"/>
    </row>
    <row r="26">
      <c r="A26" s="35" t="n"/>
      <c r="B26" s="35" t="n"/>
      <c r="C26" s="35" t="n"/>
      <c r="D26" s="35" t="n"/>
      <c r="E26" s="35" t="n"/>
    </row>
    <row r="27">
      <c r="A27" s="35" t="n"/>
      <c r="B27" s="35" t="n"/>
      <c r="C27" s="35" t="n"/>
      <c r="D27" s="35" t="n"/>
      <c r="E27" s="35" t="n"/>
    </row>
    <row r="28">
      <c r="A28" s="35" t="n"/>
      <c r="B28" s="35" t="n"/>
      <c r="C28" s="35" t="n"/>
      <c r="D28" s="35" t="n"/>
      <c r="E28" s="35" t="n"/>
    </row>
    <row r="30" ht="24" customHeight="1" s="91">
      <c r="A30" s="94" t="inlineStr">
        <is>
          <t>💲  DISCOUNTED PRICING MATRIX  —  What holders actually pay</t>
        </is>
      </c>
    </row>
    <row r="31">
      <c r="A31" s="34" t="inlineStr">
        <is>
          <t>Base prices from Revenue Model (Pro / Whale tiers). Holders get discount applied to whichever sub tier they choose.</t>
        </is>
      </c>
    </row>
    <row r="33">
      <c r="A33" s="39" t="inlineStr">
        <is>
          <t>NON-HOLDER BASE PRICES</t>
        </is>
      </c>
    </row>
    <row r="34">
      <c r="A34" s="35" t="inlineStr">
        <is>
          <t>Pro tier (non-holder)</t>
        </is>
      </c>
      <c r="B34" s="47" t="n">
        <v>49</v>
      </c>
      <c r="C34" s="47" t="n">
        <v>29</v>
      </c>
      <c r="D34" s="47" t="n">
        <v>19</v>
      </c>
      <c r="E34" s="47" t="n">
        <v>9</v>
      </c>
      <c r="F34" s="34" t="inlineStr">
        <is>
          <t>← 100 / 1K / 10K / 100K user scale</t>
        </is>
      </c>
    </row>
    <row r="35">
      <c r="A35" s="35" t="inlineStr">
        <is>
          <t>Whale tier (non-holder)</t>
        </is>
      </c>
      <c r="B35" s="47" t="n">
        <v>149</v>
      </c>
      <c r="C35" s="47" t="n">
        <v>99</v>
      </c>
      <c r="D35" s="47" t="n">
        <v>49</v>
      </c>
      <c r="E35" s="47" t="n">
        <v>29</v>
      </c>
    </row>
    <row r="37">
      <c r="A37" s="39" t="inlineStr">
        <is>
          <t>HOLDER PRO PRICING (after discount)</t>
        </is>
      </c>
    </row>
    <row r="38">
      <c r="A38" s="35" t="inlineStr">
        <is>
          <t>🥉 Bronze Pro price</t>
        </is>
      </c>
      <c r="B38" s="44">
        <f>ROUND(B34*(1-B18),2)</f>
        <v/>
      </c>
      <c r="C38" s="44">
        <f>ROUND(C34*(1-B18),2)</f>
        <v/>
      </c>
      <c r="D38" s="44">
        <f>ROUND(D34*(1-B18),2)</f>
        <v/>
      </c>
      <c r="E38" s="44">
        <f>ROUND(E34*(1-B18),2)</f>
        <v/>
      </c>
    </row>
    <row r="39">
      <c r="A39" s="35" t="inlineStr">
        <is>
          <t>🥈 Silver Pro price</t>
        </is>
      </c>
      <c r="B39" s="44">
        <f>ROUND(B34*(1-C18),2)</f>
        <v/>
      </c>
      <c r="C39" s="44">
        <f>ROUND(C34*(1-C18),2)</f>
        <v/>
      </c>
      <c r="D39" s="44">
        <f>ROUND(D34*(1-C18),2)</f>
        <v/>
      </c>
      <c r="E39" s="44">
        <f>ROUND(E34*(1-C18),2)</f>
        <v/>
      </c>
    </row>
    <row r="40">
      <c r="A40" s="35" t="inlineStr">
        <is>
          <t>🥇 Gold Pro price</t>
        </is>
      </c>
      <c r="B40" s="44">
        <f>ROUND(B34*(1-D18),2)</f>
        <v/>
      </c>
      <c r="C40" s="44">
        <f>ROUND(C34*(1-D18),2)</f>
        <v/>
      </c>
      <c r="D40" s="44">
        <f>ROUND(D34*(1-D18),2)</f>
        <v/>
      </c>
      <c r="E40" s="44">
        <f>ROUND(E34*(1-D18),2)</f>
        <v/>
      </c>
    </row>
    <row r="41">
      <c r="A41" s="35" t="inlineStr">
        <is>
          <t>💎 Diamond Pro price</t>
        </is>
      </c>
      <c r="B41" s="44">
        <f>ROUND(B34*(1-E18),2)</f>
        <v/>
      </c>
      <c r="C41" s="44">
        <f>ROUND(C34*(1-E18),2)</f>
        <v/>
      </c>
      <c r="D41" s="44">
        <f>ROUND(D34*(1-E18),2)</f>
        <v/>
      </c>
      <c r="E41" s="44">
        <f>ROUND(E34*(1-E18),2)</f>
        <v/>
      </c>
    </row>
    <row r="43">
      <c r="A43" s="39" t="inlineStr">
        <is>
          <t>HOLDER WHALE PRICING (after discount)</t>
        </is>
      </c>
    </row>
    <row r="44">
      <c r="A44" s="35" t="inlineStr">
        <is>
          <t>🥉 Bronze Whale price</t>
        </is>
      </c>
      <c r="B44" s="44">
        <f>ROUND(B35*(1-B18),2)</f>
        <v/>
      </c>
      <c r="C44" s="44">
        <f>ROUND(C35*(1-B18),2)</f>
        <v/>
      </c>
      <c r="D44" s="44">
        <f>ROUND(D35*(1-B18),2)</f>
        <v/>
      </c>
      <c r="E44" s="44">
        <f>ROUND(E35*(1-B18),2)</f>
        <v/>
      </c>
    </row>
    <row r="45">
      <c r="A45" s="35" t="inlineStr">
        <is>
          <t>🥈 Silver Whale price</t>
        </is>
      </c>
      <c r="B45" s="44">
        <f>ROUND(B35*(1-C18),2)</f>
        <v/>
      </c>
      <c r="C45" s="44">
        <f>ROUND(C35*(1-C18),2)</f>
        <v/>
      </c>
      <c r="D45" s="44">
        <f>ROUND(D35*(1-C18),2)</f>
        <v/>
      </c>
      <c r="E45" s="44">
        <f>ROUND(E35*(1-C18),2)</f>
        <v/>
      </c>
    </row>
    <row r="46">
      <c r="A46" s="35" t="inlineStr">
        <is>
          <t>🥇 Gold Whale price</t>
        </is>
      </c>
      <c r="B46" s="44">
        <f>ROUND(B35*(1-D18),2)</f>
        <v/>
      </c>
      <c r="C46" s="44">
        <f>ROUND(C35*(1-D18),2)</f>
        <v/>
      </c>
      <c r="D46" s="44">
        <f>ROUND(D35*(1-D18),2)</f>
        <v/>
      </c>
      <c r="E46" s="44">
        <f>ROUND(E35*(1-D18),2)</f>
        <v/>
      </c>
    </row>
    <row r="47">
      <c r="A47" s="35" t="inlineStr">
        <is>
          <t>💎 Diamond Whale price</t>
        </is>
      </c>
      <c r="B47" s="44">
        <f>ROUND(B35*(1-E18),2)</f>
        <v/>
      </c>
      <c r="C47" s="44">
        <f>ROUND(C35*(1-E18),2)</f>
        <v/>
      </c>
      <c r="D47" s="44">
        <f>ROUND(D35*(1-E18),2)</f>
        <v/>
      </c>
      <c r="E47" s="44">
        <f>ROUND(E35*(1-E18),2)</f>
        <v/>
      </c>
    </row>
    <row r="50" ht="24" customHeight="1" s="91">
      <c r="A50" s="94" t="inlineStr">
        <is>
          <t>📊  REVENUE IMPACT  —  1,000 user scenario with holder mix</t>
        </is>
      </c>
    </row>
    <row r="51">
      <c r="A51" s="34" t="inlineStr">
        <is>
          <t>Models 1K users with a realistic split of holders vs non-holders across tiers.</t>
        </is>
      </c>
    </row>
    <row r="53">
      <c r="A53" s="35" t="inlineStr">
        <is>
          <t>Total users in scenario</t>
        </is>
      </c>
      <c r="B53" s="37" t="n">
        <v>1000</v>
      </c>
    </row>
    <row r="55">
      <c r="A55" s="39" t="inlineStr">
        <is>
          <t>USER MIX</t>
        </is>
      </c>
      <c r="B55" s="39" t="inlineStr">
        <is>
          <t>% of Users</t>
        </is>
      </c>
      <c r="C55" s="39" t="inlineStr">
        <is>
          <t>Count</t>
        </is>
      </c>
      <c r="D55" s="39" t="inlineStr">
        <is>
          <t>Price/mo</t>
        </is>
      </c>
      <c r="E55" s="39" t="inlineStr">
        <is>
          <t>Revenue/mo</t>
        </is>
      </c>
    </row>
    <row r="56">
      <c r="A56" s="35" t="inlineStr">
        <is>
          <t>Free tier (non-holders)</t>
        </is>
      </c>
      <c r="B56" s="46" t="n">
        <v>0.4</v>
      </c>
      <c r="C56" s="48">
        <f>$B$53*B56</f>
        <v/>
      </c>
      <c r="D56" s="44">
        <f>0</f>
        <v/>
      </c>
      <c r="E56" s="38">
        <f>C56*D56</f>
        <v/>
      </c>
    </row>
    <row r="57">
      <c r="A57" s="35" t="inlineStr">
        <is>
          <t>Free tier (holders — they get Pro features at Bronze)</t>
        </is>
      </c>
      <c r="B57" s="46" t="n">
        <v>0.1</v>
      </c>
      <c r="C57" s="48">
        <f>$B$53*B57</f>
        <v/>
      </c>
      <c r="D57" s="44">
        <f>0</f>
        <v/>
      </c>
      <c r="E57" s="38">
        <f>C57*D57</f>
        <v/>
      </c>
    </row>
    <row r="58">
      <c r="A58" s="35" t="inlineStr">
        <is>
          <t>Pro tier — Non-holder</t>
        </is>
      </c>
      <c r="B58" s="46" t="n">
        <v>0.15</v>
      </c>
      <c r="C58" s="48">
        <f>$B$53*B58</f>
        <v/>
      </c>
      <c r="D58" s="44">
        <f>C34</f>
        <v/>
      </c>
      <c r="E58" s="38">
        <f>C58*D58</f>
        <v/>
      </c>
    </row>
    <row r="59">
      <c r="A59" s="35" t="inlineStr">
        <is>
          <t>Pro tier — 🥉 Bronze holder</t>
        </is>
      </c>
      <c r="B59" s="46" t="n">
        <v>0.08</v>
      </c>
      <c r="C59" s="48">
        <f>$B$53*B59</f>
        <v/>
      </c>
      <c r="D59" s="44">
        <f>C38</f>
        <v/>
      </c>
      <c r="E59" s="38">
        <f>C59*D59</f>
        <v/>
      </c>
    </row>
    <row r="60">
      <c r="A60" s="35" t="inlineStr">
        <is>
          <t>Pro tier — 🥈 Silver holder</t>
        </is>
      </c>
      <c r="B60" s="46" t="n">
        <v>0.05</v>
      </c>
      <c r="C60" s="48">
        <f>$B$53*B60</f>
        <v/>
      </c>
      <c r="D60" s="44">
        <f>C39</f>
        <v/>
      </c>
      <c r="E60" s="38">
        <f>C60*D60</f>
        <v/>
      </c>
    </row>
    <row r="61">
      <c r="A61" s="35" t="inlineStr">
        <is>
          <t>Pro tier — 🥇 Gold holder</t>
        </is>
      </c>
      <c r="B61" s="46" t="n">
        <v>0.03</v>
      </c>
      <c r="C61" s="48">
        <f>$B$53*B61</f>
        <v/>
      </c>
      <c r="D61" s="44">
        <f>C40</f>
        <v/>
      </c>
      <c r="E61" s="38">
        <f>C61*D61</f>
        <v/>
      </c>
    </row>
    <row r="62">
      <c r="A62" s="35" t="inlineStr">
        <is>
          <t>Whale tier — Non-holder</t>
        </is>
      </c>
      <c r="B62" s="46" t="n">
        <v>0.06</v>
      </c>
      <c r="C62" s="48">
        <f>$B$53*B62</f>
        <v/>
      </c>
      <c r="D62" s="44">
        <f>C35</f>
        <v/>
      </c>
      <c r="E62" s="38">
        <f>C62*D62</f>
        <v/>
      </c>
    </row>
    <row r="63">
      <c r="A63" s="35" t="inlineStr">
        <is>
          <t>Whale tier — 🥉 Bronze holder</t>
        </is>
      </c>
      <c r="B63" s="46" t="n">
        <v>0.04</v>
      </c>
      <c r="C63" s="48">
        <f>$B$53*B63</f>
        <v/>
      </c>
      <c r="D63" s="44">
        <f>C44</f>
        <v/>
      </c>
      <c r="E63" s="38">
        <f>C63*D63</f>
        <v/>
      </c>
    </row>
    <row r="64">
      <c r="A64" s="35" t="inlineStr">
        <is>
          <t>Whale tier — 🥈 Silver holder</t>
        </is>
      </c>
      <c r="B64" s="46" t="n">
        <v>0.04</v>
      </c>
      <c r="C64" s="48">
        <f>$B$53*B64</f>
        <v/>
      </c>
      <c r="D64" s="44">
        <f>C45</f>
        <v/>
      </c>
      <c r="E64" s="38">
        <f>C64*D64</f>
        <v/>
      </c>
    </row>
    <row r="65">
      <c r="A65" s="35" t="inlineStr">
        <is>
          <t>Whale tier — 🥇 Gold holder</t>
        </is>
      </c>
      <c r="B65" s="46" t="n">
        <v>0.03</v>
      </c>
      <c r="C65" s="48">
        <f>$B$53*B65</f>
        <v/>
      </c>
      <c r="D65" s="44">
        <f>C46</f>
        <v/>
      </c>
      <c r="E65" s="38">
        <f>C65*D65</f>
        <v/>
      </c>
    </row>
    <row r="66">
      <c r="A66" s="35" t="inlineStr">
        <is>
          <t>Whale tier — 💎 Diamond holder</t>
        </is>
      </c>
      <c r="B66" s="46" t="n">
        <v>0.02</v>
      </c>
      <c r="C66" s="48">
        <f>$B$53*B66</f>
        <v/>
      </c>
      <c r="D66" s="44">
        <f>C47</f>
        <v/>
      </c>
      <c r="E66" s="38">
        <f>C66*D66</f>
        <v/>
      </c>
    </row>
    <row r="68">
      <c r="A68" s="39" t="inlineStr">
        <is>
          <t>User % total (sanity check)</t>
        </is>
      </c>
      <c r="B68" s="49">
        <f>SUM(B56:B66)</f>
        <v/>
      </c>
      <c r="F68" s="34" t="inlineStr">
        <is>
          <t>← Must equal 100%</t>
        </is>
      </c>
    </row>
    <row r="69">
      <c r="A69" s="39" t="inlineStr">
        <is>
          <t>TOTAL SCENARIO REVENUE / MONTH</t>
        </is>
      </c>
      <c r="E69" s="50">
        <f>SUM(E56:E66)</f>
        <v/>
      </c>
    </row>
    <row r="71">
      <c r="A71" s="39" t="inlineStr">
        <is>
          <t>Revenue Split on Scenario</t>
        </is>
      </c>
    </row>
    <row r="72">
      <c r="A72" s="35" t="inlineStr">
        <is>
          <t>→  Operator / Developer (70%)</t>
        </is>
      </c>
      <c r="E72" s="51">
        <f>E69*0.7</f>
        <v/>
      </c>
    </row>
    <row r="73">
      <c r="A73" s="35" t="inlineStr">
        <is>
          <t>→  $CRM Project Wallet (25%)</t>
        </is>
      </c>
      <c r="E73" s="52">
        <f>E69*0.25</f>
        <v/>
      </c>
    </row>
    <row r="74">
      <c r="A74" s="35" t="inlineStr">
        <is>
          <t>→  Project Owner LLC (5%)</t>
        </is>
      </c>
      <c r="E74" s="38">
        <f>E69*0.05</f>
        <v/>
      </c>
    </row>
    <row r="76">
      <c r="A76" s="39" t="inlineStr">
        <is>
          <t>COMPARISON vs NO HOLDER DISCOUNTS</t>
        </is>
      </c>
    </row>
    <row r="77">
      <c r="A77" s="35" t="inlineStr">
        <is>
          <t>Revenue if all paid full price (no discounts)</t>
        </is>
      </c>
      <c r="E77" s="38">
        <f>(B56+B57)*$B$53*0 + (B58+B59+B60+B61)*$B$53*C34 + (B62+B63+B64+B65+B66)*$B$53*C35</f>
        <v/>
      </c>
    </row>
    <row r="78">
      <c r="A78" s="35" t="inlineStr">
        <is>
          <t>Revenue lost to holder discounts</t>
        </is>
      </c>
      <c r="E78" s="53">
        <f>E77-E69</f>
        <v/>
      </c>
    </row>
    <row r="79">
      <c r="A79" s="35" t="inlineStr">
        <is>
          <t>% revenue reduction from discounts</t>
        </is>
      </c>
      <c r="E79" s="54">
        <f>IF(E77=0,0,E78/E77)</f>
        <v/>
      </c>
    </row>
    <row r="81">
      <c r="A81" s="35" t="inlineStr">
        <is>
          <t>Monthly costs (1K users from Enterprise Pricing)</t>
        </is>
      </c>
      <c r="E81" s="55" t="n">
        <v>410</v>
      </c>
      <c r="F81" s="34" t="inlineStr">
        <is>
          <t>← From Enterprise Pricing sheet</t>
        </is>
      </c>
    </row>
    <row r="82">
      <c r="A82" s="39" t="inlineStr">
        <is>
          <t>Operator profit after discounts</t>
        </is>
      </c>
      <c r="E82" s="56">
        <f>E72-E81</f>
        <v/>
      </c>
    </row>
    <row r="83">
      <c r="A83" s="35" t="inlineStr">
        <is>
          <t>Operator margin after discounts</t>
        </is>
      </c>
      <c r="E83" s="57">
        <f>IF(E72=0,0,(E72-E81)/E72)</f>
        <v/>
      </c>
    </row>
    <row r="85" ht="24" customHeight="1" s="91">
      <c r="A85" s="94" t="inlineStr">
        <is>
          <t>🚀  TOKEN BUY PRESSURE  —  How much $CRM gets locked by holders?</t>
        </is>
      </c>
    </row>
    <row r="86">
      <c r="A86" s="35" t="inlineStr">
        <is>
          <t>Holders in scenario (non-free-tier holders)</t>
        </is>
      </c>
      <c r="E86" s="48">
        <f>C57+C59+C60+C61+C63+C64+C65+C66</f>
        <v/>
      </c>
    </row>
    <row r="87">
      <c r="A87" s="35" t="inlineStr">
        <is>
          <t>Est. tokens locked (min. per tier × holder count)</t>
        </is>
      </c>
      <c r="E87" s="48">
        <f>(C57+C59+C63)*B15+(C60+C64)*C15+(C61+C65)*D15+C66*E15</f>
        <v/>
      </c>
    </row>
    <row r="88">
      <c r="A88" s="35" t="inlineStr">
        <is>
          <t>% of circulating supply locked by bot users</t>
        </is>
      </c>
      <c r="E88" s="58">
        <f>E87/$B$7</f>
        <v/>
      </c>
    </row>
    <row r="89">
      <c r="A89" s="35" t="inlineStr">
        <is>
          <t>USD value locked at current token price</t>
        </is>
      </c>
      <c r="E89" s="38">
        <f>E87*$B$5</f>
        <v/>
      </c>
    </row>
    <row r="91" ht="24" customHeight="1" s="91">
      <c r="A91" s="94" t="inlineStr">
        <is>
          <t>🔄  THE FLYWHEEL  —  Why this works</t>
        </is>
      </c>
    </row>
    <row r="92">
      <c r="A92" s="34" t="inlineStr">
        <is>
          <t>1. Users buy $CRM to unlock discounts → BUY PRESSURE on token</t>
        </is>
      </c>
    </row>
    <row r="93">
      <c r="A93" s="34" t="inlineStr">
        <is>
          <t>2. 25% of subscription revenue goes to project wallet → BUYBACK PRESSURE on token</t>
        </is>
      </c>
    </row>
    <row r="94">
      <c r="A94" s="34" t="inlineStr">
        <is>
          <t>3. Holders must maintain balance to keep discount → REDUCED SELL PRESSURE</t>
        </is>
      </c>
    </row>
    <row r="95">
      <c r="A95" s="34" t="inlineStr">
        <is>
          <t>4. Higher token price → higher buy-in cost per tier → more value locked → stronger floor</t>
        </is>
      </c>
    </row>
    <row r="96">
      <c r="A96" s="34" t="inlineStr">
        <is>
          <t>5. Bot utility drives real demand (not speculation) → SUSTAINABLE demand</t>
        </is>
      </c>
    </row>
    <row r="97">
      <c r="A97" s="34" t="inlineStr">
        <is>
          <t>6. Diamond holders with 50% discount still generate profit (costs are &lt;$1/user at scale)</t>
        </is>
      </c>
    </row>
    <row r="98">
      <c r="A98" s="34" t="inlineStr">
        <is>
          <t>7. Free tier holders (Bronze features at $0) → try-before-you-buy funnel into paid tiers</t>
        </is>
      </c>
    </row>
    <row r="99">
      <c r="A99" s="34" t="n"/>
    </row>
    <row r="100">
      <c r="A100" s="34" t="inlineStr">
        <is>
          <t>Key insight: even with 50% discounts for Diamond holders, operator margin stays &gt;90%</t>
        </is>
      </c>
    </row>
    <row r="101">
      <c r="A101" s="34" t="inlineStr">
        <is>
          <t>because infrastructure costs are &lt;3% of revenue. The discounts cost you almost nothing</t>
        </is>
      </c>
    </row>
    <row r="102">
      <c r="A102" s="34" t="inlineStr">
        <is>
          <t>in absolute terms but create massive incentive to buy and hold the token.</t>
        </is>
      </c>
    </row>
    <row r="104">
      <c r="A104" s="92" t="inlineStr">
        <is>
          <t>🛡️  COST CONTROL — Hard Caps, Throttles &amp; Overage Model</t>
        </is>
      </c>
    </row>
    <row r="105">
      <c r="A105" s="90" t="inlineStr">
        <is>
          <t>Every user action that costs API credits is hard-capped at tier level. No tier can exceed its ceiling regardless of behavior.</t>
        </is>
      </c>
    </row>
    <row r="107">
      <c r="A107" s="66" t="inlineStr">
        <is>
          <t>PER-USER DAILY CAPS</t>
        </is>
      </c>
      <c r="B107" s="66" t="inlineStr">
        <is>
          <t>🆓 Free</t>
        </is>
      </c>
      <c r="C107" s="66" t="inlineStr">
        <is>
          <t>⭐ Pro</t>
        </is>
      </c>
      <c r="D107" s="66" t="inlineStr">
        <is>
          <t>🔷 Team</t>
        </is>
      </c>
      <c r="E107" s="66" t="inlineStr">
        <is>
          <t>💎 OG</t>
        </is>
      </c>
      <c r="F107" s="67" t="inlineStr">
        <is>
          <t>Notes</t>
        </is>
      </c>
    </row>
    <row r="108">
      <c r="A108" t="inlineStr">
        <is>
          <t>Scans / day</t>
        </is>
      </c>
      <c r="B108" s="68" t="n">
        <v>3</v>
      </c>
      <c r="C108" s="68" t="n">
        <v>25</v>
      </c>
      <c r="D108" s="68" t="n">
        <v>100</v>
      </c>
      <c r="E108" s="68" t="n">
        <v>100</v>
      </c>
      <c r="F108" s="69" t="inlineStr">
        <is>
          <t>Team capped by hourly/daily system limits</t>
        </is>
      </c>
    </row>
    <row r="109">
      <c r="A109" t="inlineStr">
        <is>
          <t>Marcus AI queries / day</t>
        </is>
      </c>
      <c r="B109" s="68" t="n">
        <v>0</v>
      </c>
      <c r="C109" s="68" t="n">
        <v>10</v>
      </c>
      <c r="D109" s="68" t="n">
        <v>100</v>
      </c>
      <c r="E109" s="68" t="n">
        <v>100</v>
      </c>
      <c r="F109" s="69" t="inlineStr">
        <is>
          <t>Claude Sonnet primary, Gemini Flash fallback</t>
        </is>
      </c>
    </row>
    <row r="110">
      <c r="A110" t="inlineStr">
        <is>
          <t>Cooldown between scans (sec)</t>
        </is>
      </c>
      <c r="B110" s="68" t="n">
        <v>120</v>
      </c>
      <c r="C110" s="68" t="n">
        <v>15</v>
      </c>
      <c r="D110" s="68" t="n">
        <v>0</v>
      </c>
      <c r="E110" s="68" t="n">
        <v>0</v>
      </c>
      <c r="F110" s="69" t="inlineStr">
        <is>
          <t>Prevents rapid-fire scanning</t>
        </is>
      </c>
    </row>
    <row r="111">
      <c r="A111" t="inlineStr">
        <is>
          <t>Comparison scans / day</t>
        </is>
      </c>
      <c r="B111" s="68" t="n">
        <v>0</v>
      </c>
      <c r="C111" s="68" t="n">
        <v>3</v>
      </c>
      <c r="D111" s="68" t="n">
        <v>20</v>
      </c>
      <c r="E111" s="68" t="n">
        <v>20</v>
      </c>
    </row>
    <row r="112">
      <c r="A112" t="inlineStr">
        <is>
          <t>Portfolio positions</t>
        </is>
      </c>
      <c r="B112" s="68" t="n">
        <v>1</v>
      </c>
      <c r="C112" s="68" t="n">
        <v>20</v>
      </c>
      <c r="D112" s="68" t="n">
        <v>40</v>
      </c>
      <c r="E112" s="68" t="n">
        <v>40</v>
      </c>
    </row>
    <row r="113">
      <c r="A113" t="inlineStr">
        <is>
          <t>Tracked wallets</t>
        </is>
      </c>
      <c r="B113" s="68" t="n">
        <v>0</v>
      </c>
      <c r="C113" s="68" t="n">
        <v>5</v>
      </c>
      <c r="D113" s="68" t="n">
        <v>50</v>
      </c>
      <c r="E113" s="68" t="n">
        <v>50</v>
      </c>
    </row>
    <row r="114">
      <c r="A114" t="inlineStr">
        <is>
          <t>Price alerts</t>
        </is>
      </c>
      <c r="B114" s="68" t="n">
        <v>0</v>
      </c>
      <c r="C114" s="68" t="n">
        <v>10</v>
      </c>
      <c r="D114" s="68" t="n">
        <v>50</v>
      </c>
      <c r="E114" s="68" t="n">
        <v>50</v>
      </c>
    </row>
    <row r="115">
      <c r="A115" t="inlineStr">
        <is>
          <t>Win cards / day</t>
        </is>
      </c>
      <c r="B115" s="68" t="n">
        <v>0</v>
      </c>
      <c r="C115" s="68" t="n">
        <v>5</v>
      </c>
      <c r="D115" s="68" t="n">
        <v>20</v>
      </c>
      <c r="E115" s="68" t="n">
        <v>20</v>
      </c>
    </row>
    <row r="118">
      <c r="A118" s="70" t="inlineStr">
        <is>
          <t>GLOBAL RATE LIMITS (system-wide circuit breakers)</t>
        </is>
      </c>
    </row>
    <row r="119">
      <c r="A119" t="inlineStr">
        <is>
          <t>Global scan throttle</t>
        </is>
      </c>
      <c r="B119" s="68" t="inlineStr">
        <is>
          <t>50 scans / 60 seconds</t>
        </is>
      </c>
      <c r="F119" s="69" t="inlineStr">
        <is>
          <t>All users combined — prevents DDoS-style floods</t>
        </is>
      </c>
    </row>
    <row r="120">
      <c r="A120" t="inlineStr">
        <is>
          <t>Per-user scans / hour</t>
        </is>
      </c>
      <c r="B120" s="68" t="n">
        <v>30</v>
      </c>
      <c r="F120" s="69" t="inlineStr">
        <is>
          <t>Sliding window, all tiers</t>
        </is>
      </c>
    </row>
    <row r="121">
      <c r="A121" t="inlineStr">
        <is>
          <t>Per-user scans / day</t>
        </is>
      </c>
      <c r="B121" s="68" t="n">
        <v>100</v>
      </c>
      <c r="F121" s="69" t="inlineStr">
        <is>
          <t>Hard ceiling even for unlimited tiers</t>
        </is>
      </c>
    </row>
    <row r="122">
      <c r="A122" t="inlineStr">
        <is>
          <t>Votes / hour</t>
        </is>
      </c>
      <c r="B122" s="68" t="n">
        <v>10</v>
      </c>
      <c r="F122" s="69" t="inlineStr">
        <is>
          <t>Blacklist voting limit</t>
        </is>
      </c>
    </row>
    <row r="123">
      <c r="A123" t="inlineStr">
        <is>
          <t>Token flags / day</t>
        </is>
      </c>
      <c r="B123" s="68" t="n">
        <v>5</v>
      </c>
      <c r="F123" s="69" t="inlineStr">
        <is>
          <t>Community flagging limit</t>
        </is>
      </c>
    </row>
    <row r="124">
      <c r="A124" t="inlineStr">
        <is>
          <t>Alert creations / hour</t>
        </is>
      </c>
      <c r="B124" s="68" t="n">
        <v>5</v>
      </c>
      <c r="F124" s="69" t="inlineStr">
        <is>
          <t>Prevents alert spam</t>
        </is>
      </c>
    </row>
    <row r="127">
      <c r="A127" s="70" t="inlineStr">
        <is>
          <t>COST-PER-ACTION ESTIMATES (your API cost per user action)</t>
        </is>
      </c>
    </row>
    <row r="128">
      <c r="A128" t="inlineStr">
        <is>
          <t>Single scan (Helius + DexScreener)</t>
        </is>
      </c>
      <c r="B128" s="71" t="n">
        <v>0.002</v>
      </c>
      <c r="F128" s="69" t="inlineStr">
        <is>
          <t>Helius RPC call + data aggregation</t>
        </is>
      </c>
    </row>
    <row r="129">
      <c r="A129" t="inlineStr">
        <is>
          <t>Marcus AI query (Claude Sonnet)</t>
        </is>
      </c>
      <c r="B129" s="71" t="n">
        <v>0.03</v>
      </c>
      <c r="F129" s="69" t="inlineStr">
        <is>
          <t>Primary LLM for deep analysis</t>
        </is>
      </c>
    </row>
    <row r="130">
      <c r="A130" t="inlineStr">
        <is>
          <t>Marcus AI query (Gemini Flash)</t>
        </is>
      </c>
      <c r="B130" s="71" t="n">
        <v>0.001</v>
      </c>
      <c r="F130" s="69" t="inlineStr">
        <is>
          <t>Fallback / routine queries — 30x cheaper</t>
        </is>
      </c>
    </row>
    <row r="131">
      <c r="A131" t="inlineStr">
        <is>
          <t>X API call (tweet lookup)</t>
        </is>
      </c>
      <c r="B131" s="71" t="n">
        <v>0.004</v>
      </c>
      <c r="F131" s="69" t="inlineStr">
        <is>
          <t>Per-scan social signal check</t>
        </is>
      </c>
    </row>
    <row r="134">
      <c r="A134" s="70" t="inlineStr">
        <is>
          <t>WORST-CASE DAILY API COST PER USER</t>
        </is>
      </c>
    </row>
    <row r="135">
      <c r="A135" s="66" t="n"/>
      <c r="B135" s="66" t="inlineStr">
        <is>
          <t>🆓 Free</t>
        </is>
      </c>
      <c r="C135" s="66" t="inlineStr">
        <is>
          <t>⭐ Pro</t>
        </is>
      </c>
      <c r="D135" s="66" t="inlineStr">
        <is>
          <t>🔷 Team</t>
        </is>
      </c>
      <c r="E135" s="66" t="inlineStr">
        <is>
          <t>💎 OG</t>
        </is>
      </c>
    </row>
    <row r="136">
      <c r="A136" t="inlineStr">
        <is>
          <t>Max scan cost / day</t>
        </is>
      </c>
      <c r="B136" s="72">
        <f>B108*$B$128</f>
        <v/>
      </c>
      <c r="C136" s="72">
        <f>C108*$B$128</f>
        <v/>
      </c>
      <c r="D136" s="72">
        <f>D108*$B$128</f>
        <v/>
      </c>
      <c r="E136" s="72">
        <f>E108*$B$128</f>
        <v/>
      </c>
    </row>
    <row r="137">
      <c r="A137" t="inlineStr">
        <is>
          <t>Max Marcus cost / day (Sonnet)</t>
        </is>
      </c>
      <c r="B137" s="72">
        <f>B109*$B$129</f>
        <v/>
      </c>
      <c r="C137" s="72">
        <f>C109*$B$129</f>
        <v/>
      </c>
      <c r="D137" s="72">
        <f>D109*$B$129</f>
        <v/>
      </c>
      <c r="E137" s="72">
        <f>E109*$B$129</f>
        <v/>
      </c>
    </row>
    <row r="138">
      <c r="A138" t="inlineStr">
        <is>
          <t>Max X API cost / day</t>
        </is>
      </c>
      <c r="B138" s="72">
        <f>B108*$B$131</f>
        <v/>
      </c>
      <c r="C138" s="72">
        <f>C108*$B$131</f>
        <v/>
      </c>
      <c r="D138" s="72">
        <f>D108*$B$131</f>
        <v/>
      </c>
      <c r="E138" s="72">
        <f>E108*$B$131</f>
        <v/>
      </c>
    </row>
    <row r="139">
      <c r="A139" s="67" t="inlineStr">
        <is>
          <t>TOTAL max cost / user / day</t>
        </is>
      </c>
      <c r="B139" s="72">
        <f>SUM(B136:B138)</f>
        <v/>
      </c>
      <c r="C139" s="72">
        <f>SUM(C136:C138)</f>
        <v/>
      </c>
      <c r="D139" s="72">
        <f>SUM(D136:D138)</f>
        <v/>
      </c>
      <c r="E139" s="72">
        <f>SUM(E136:E138)</f>
        <v/>
      </c>
    </row>
    <row r="140">
      <c r="A140" s="67" t="inlineStr">
        <is>
          <t>TOTAL max cost / user / month</t>
        </is>
      </c>
      <c r="B140" s="73">
        <f>B139*30</f>
        <v/>
      </c>
      <c r="C140" s="73">
        <f>C139*30</f>
        <v/>
      </c>
      <c r="D140" s="73">
        <f>D139*30</f>
        <v/>
      </c>
      <c r="E140" s="73">
        <f>E139*30</f>
        <v/>
      </c>
    </row>
    <row r="142">
      <c r="A142" s="90" t="inlineStr">
        <is>
          <t>HOW THIS PROTECTS: Even if every Pro user maxes out every single day, the worst-case API cost is well below the $5/mo subscription price.</t>
        </is>
      </c>
    </row>
    <row r="143">
      <c r="A143" s="90" t="inlineStr">
        <is>
          <t>Global rate limit (50 scans/60s) prevents any coordinated spike from exceeding system capacity. Cooldowns prevent individual abuse. Usage above tier caps is simply blocked — no overage billing surprise.</t>
        </is>
      </c>
    </row>
    <row r="145">
      <c r="A145" s="92" t="inlineStr">
        <is>
          <t>⚠️  SUPPLIER RISK — External API Pricing Exposure &amp; Sensitivity</t>
        </is>
      </c>
    </row>
    <row r="146">
      <c r="A146" s="90" t="inlineStr">
        <is>
          <t>All external APIs are passed through at cost. This section models pricing stability and the impact of potential changes on the business model.</t>
        </is>
      </c>
    </row>
    <row r="148">
      <c r="A148" s="70" t="inlineStr">
        <is>
          <t>CURRENT MONTHLY API COSTS</t>
        </is>
      </c>
    </row>
    <row r="149">
      <c r="A149" s="66" t="inlineStr">
        <is>
          <t>Provider</t>
        </is>
      </c>
      <c r="B149" s="66" t="inlineStr">
        <is>
          <t>1K Users</t>
        </is>
      </c>
      <c r="C149" s="66" t="inlineStr">
        <is>
          <t>10K Users</t>
        </is>
      </c>
      <c r="D149" s="66" t="inlineStr">
        <is>
          <t>100K Users</t>
        </is>
      </c>
      <c r="E149" s="66" t="inlineStr">
        <is>
          <t>Plan Type</t>
        </is>
      </c>
    </row>
    <row r="150">
      <c r="A150" t="inlineStr">
        <is>
          <t>Helius RPC (Solana)</t>
        </is>
      </c>
      <c r="B150" s="74" t="n">
        <v>49</v>
      </c>
      <c r="C150" s="74" t="n">
        <v>499</v>
      </c>
      <c r="D150" s="74" t="n">
        <v>999</v>
      </c>
      <c r="E150" s="69" t="inlineStr">
        <is>
          <t>Pay-as-you-go + tiers</t>
        </is>
      </c>
    </row>
    <row r="151">
      <c r="A151" t="inlineStr">
        <is>
          <t>Anthropic Claude Sonnet</t>
        </is>
      </c>
      <c r="B151" s="74" t="n">
        <v>50</v>
      </c>
      <c r="C151" s="74" t="n">
        <v>400</v>
      </c>
      <c r="D151" s="74" t="n">
        <v>3000</v>
      </c>
      <c r="E151" s="69" t="inlineStr">
        <is>
          <t>Per-token usage</t>
        </is>
      </c>
    </row>
    <row r="152">
      <c r="A152" t="inlineStr">
        <is>
          <t>Google Gemini Flash</t>
        </is>
      </c>
      <c r="B152" s="74" t="n">
        <v>5</v>
      </c>
      <c r="C152" s="74" t="n">
        <v>20</v>
      </c>
      <c r="D152" s="74" t="n">
        <v>80</v>
      </c>
      <c r="E152" s="69" t="inlineStr">
        <is>
          <t>Per-token usage</t>
        </is>
      </c>
    </row>
    <row r="153">
      <c r="A153" t="inlineStr">
        <is>
          <t>Twitter / X API</t>
        </is>
      </c>
      <c r="B153" s="74" t="n">
        <v>129</v>
      </c>
      <c r="C153" s="74" t="n">
        <v>546</v>
      </c>
      <c r="D153" s="74" t="n">
        <v>1440</v>
      </c>
      <c r="E153" s="69" t="inlineStr">
        <is>
          <t>Fixed monthly tiers</t>
        </is>
      </c>
    </row>
    <row r="154">
      <c r="A154" t="inlineStr">
        <is>
          <t>DexScreener</t>
        </is>
      </c>
      <c r="B154" s="74" t="n">
        <v>0</v>
      </c>
      <c r="C154" s="74" t="n">
        <v>0</v>
      </c>
      <c r="D154" s="74" t="n">
        <v>0</v>
      </c>
      <c r="E154" s="69" t="inlineStr">
        <is>
          <t>Free tier</t>
        </is>
      </c>
    </row>
    <row r="155">
      <c r="A155" t="inlineStr">
        <is>
          <t>Solscan Pro (est.)</t>
        </is>
      </c>
      <c r="B155" s="74" t="n">
        <v>50</v>
      </c>
      <c r="C155" s="74" t="n">
        <v>50</v>
      </c>
      <c r="D155" s="74" t="n">
        <v>100</v>
      </c>
      <c r="E155" s="69" t="inlineStr">
        <is>
          <t>Monthly subscription</t>
        </is>
      </c>
    </row>
    <row r="156">
      <c r="A156" t="inlineStr">
        <is>
          <t>GMGN Pro (est.)</t>
        </is>
      </c>
      <c r="B156" s="74" t="n">
        <v>99</v>
      </c>
      <c r="C156" s="74" t="n">
        <v>99</v>
      </c>
      <c r="D156" s="74" t="n">
        <v>99</v>
      </c>
      <c r="E156" s="69" t="inlineStr">
        <is>
          <t>Monthly subscription</t>
        </is>
      </c>
    </row>
    <row r="157">
      <c r="A157" s="67" t="inlineStr">
        <is>
          <t>TOTAL external API cost / month</t>
        </is>
      </c>
      <c r="B157" s="75">
        <f>SUM(B150:B156)</f>
        <v/>
      </c>
      <c r="C157" s="75">
        <f>SUM(C150:C156)</f>
        <v/>
      </c>
      <c r="D157" s="75">
        <f>SUM(D150:D156)</f>
        <v/>
      </c>
    </row>
    <row r="159">
      <c r="A159" s="70" t="inlineStr">
        <is>
          <t>PRICING STABILITY ASSESSMENT</t>
        </is>
      </c>
    </row>
    <row r="160">
      <c r="A160" s="66" t="inlineStr">
        <is>
          <t>Provider</t>
        </is>
      </c>
      <c r="B160" s="66" t="inlineStr">
        <is>
          <t>Contract Type</t>
        </is>
      </c>
      <c r="C160" s="66" t="inlineStr">
        <is>
          <t>Price Change Risk</t>
        </is>
      </c>
      <c r="D160" s="66" t="inlineStr">
        <is>
          <t>Recent History</t>
        </is>
      </c>
      <c r="E160" s="66" t="n"/>
    </row>
    <row r="161">
      <c r="A161" t="inlineStr">
        <is>
          <t>Helius</t>
        </is>
      </c>
      <c r="B161" t="inlineStr">
        <is>
          <t>Pay-as-you-go + tiers</t>
        </is>
      </c>
      <c r="C161" s="76" t="inlineStr">
        <is>
          <t>Low</t>
        </is>
      </c>
      <c r="D161" s="69" t="inlineStr">
        <is>
          <t>Stable since 2023, competitive Solana RPC market</t>
        </is>
      </c>
    </row>
    <row r="162">
      <c r="A162" t="inlineStr">
        <is>
          <t>Anthropic</t>
        </is>
      </c>
      <c r="B162" t="inlineStr">
        <is>
          <t>Per-token, declining trend</t>
        </is>
      </c>
      <c r="C162" s="77" t="inlineStr">
        <is>
          <t>Medium</t>
        </is>
      </c>
      <c r="D162" s="69" t="inlineStr">
        <is>
          <t>Sonnet 4 price cut vs 3.5 — trend is downward</t>
        </is>
      </c>
    </row>
    <row r="163">
      <c r="A163" t="inlineStr">
        <is>
          <t>Google Gemini</t>
        </is>
      </c>
      <c r="B163" t="inlineStr">
        <is>
          <t>Per-token, aggressive pricing</t>
        </is>
      </c>
      <c r="C163" s="76" t="inlineStr">
        <is>
          <t>Low</t>
        </is>
      </c>
      <c r="D163" s="69" t="inlineStr">
        <is>
          <t>Flash is deliberately loss-leader priced</t>
        </is>
      </c>
    </row>
    <row r="164">
      <c r="A164" t="inlineStr">
        <is>
          <t>X API (Twitter)</t>
        </is>
      </c>
      <c r="B164" t="inlineStr">
        <is>
          <t>Fixed monthly tiers</t>
        </is>
      </c>
      <c r="C164" s="78" t="inlineStr">
        <is>
          <t>HIGH</t>
        </is>
      </c>
      <c r="D164" s="69" t="inlineStr">
        <is>
          <t>$100→$200 Basic tier (2023). Pro tier $5K/mo. Volatile.</t>
        </is>
      </c>
    </row>
    <row r="165">
      <c r="A165" t="inlineStr">
        <is>
          <t>DexScreener</t>
        </is>
      </c>
      <c r="B165" t="inlineStr">
        <is>
          <t>Free tier</t>
        </is>
      </c>
      <c r="C165" s="76" t="inlineStr">
        <is>
          <t>Low</t>
        </is>
      </c>
      <c r="D165" s="69" t="inlineStr">
        <is>
          <t>Currently free. May add paid tier eventually.</t>
        </is>
      </c>
    </row>
    <row r="167">
      <c r="A167" s="70" t="inlineStr">
        <is>
          <t>SENSITIVITY ANALYSIS — What if API prices increase?</t>
        </is>
      </c>
    </row>
    <row r="168">
      <c r="A168" s="66" t="inlineStr">
        <is>
          <t>Scenario</t>
        </is>
      </c>
      <c r="B168" s="66" t="inlineStr">
        <is>
          <t>1K Impact</t>
        </is>
      </c>
      <c r="C168" s="66" t="inlineStr">
        <is>
          <t>10K Impact</t>
        </is>
      </c>
      <c r="D168" s="66" t="inlineStr">
        <is>
          <t>100K Impact</t>
        </is>
      </c>
      <c r="E168" s="66" t="n"/>
    </row>
    <row r="169">
      <c r="A169" t="inlineStr">
        <is>
          <t>All APIs +25%</t>
        </is>
      </c>
      <c r="B169" s="79">
        <f>B157*0.25</f>
        <v/>
      </c>
      <c r="C169" s="79">
        <f>C157*0.25</f>
        <v/>
      </c>
      <c r="D169" s="79">
        <f>D157*0.25</f>
        <v/>
      </c>
    </row>
    <row r="170">
      <c r="A170" t="inlineStr">
        <is>
          <t>All APIs +50%</t>
        </is>
      </c>
      <c r="B170" s="79">
        <f>B157*0.5</f>
        <v/>
      </c>
      <c r="C170" s="79">
        <f>C157*0.5</f>
        <v/>
      </c>
      <c r="D170" s="79">
        <f>D157*0.5</f>
        <v/>
      </c>
    </row>
    <row r="171">
      <c r="A171" t="inlineStr">
        <is>
          <t>Anthropic doubles</t>
        </is>
      </c>
      <c r="B171" s="79">
        <f>B151</f>
        <v/>
      </c>
      <c r="C171" s="79">
        <f>C151</f>
        <v/>
      </c>
      <c r="D171" s="79">
        <f>D151</f>
        <v/>
      </c>
    </row>
    <row r="172">
      <c r="A172" t="inlineStr">
        <is>
          <t>X API doubles</t>
        </is>
      </c>
      <c r="B172" s="79">
        <f>B153</f>
        <v/>
      </c>
      <c r="C172" s="79">
        <f>C153</f>
        <v/>
      </c>
      <c r="D172" s="79">
        <f>D153</f>
        <v/>
      </c>
    </row>
    <row r="173">
      <c r="A173" t="inlineStr">
        <is>
          <t>Helius doubles</t>
        </is>
      </c>
      <c r="B173" s="79">
        <f>B150</f>
        <v/>
      </c>
      <c r="C173" s="79">
        <f>C150</f>
        <v/>
      </c>
      <c r="D173" s="79">
        <f>D150</f>
        <v/>
      </c>
    </row>
    <row r="174">
      <c r="A174" s="67" t="inlineStr">
        <is>
          <t>WORST CASE (all double)</t>
        </is>
      </c>
      <c r="B174" s="80">
        <f>B157</f>
        <v/>
      </c>
      <c r="C174" s="80">
        <f>C157</f>
        <v/>
      </c>
      <c r="D174" s="80">
        <f>D157</f>
        <v/>
      </c>
    </row>
    <row r="176">
      <c r="A176" s="70" t="inlineStr">
        <is>
          <t>MITIGATION STRATEGIES</t>
        </is>
      </c>
    </row>
    <row r="177">
      <c r="A177" s="90" t="inlineStr">
        <is>
          <t>1. Gemini Flash used as primary for routine queries — 30x cheaper than Claude Sonnet. Claude reserved for deep analysis only.</t>
        </is>
      </c>
    </row>
    <row r="178">
      <c r="A178" s="90" t="inlineStr">
        <is>
          <t>2. DexScreener is free. If paywalled, switch to GeckoTerminal (free) or Jupiter Price API (free on Solana). X API is the main risk — monitor and budget for potential 2x increase.</t>
        </is>
      </c>
    </row>
    <row r="180">
      <c r="A180" s="92" t="inlineStr">
        <is>
          <t>🔒  SECURITY &amp; ABUSE PROTECTION — Rate Limits, Bot Defense &amp; Blocking</t>
        </is>
      </c>
    </row>
    <row r="181">
      <c r="A181" s="90" t="inlineStr">
        <is>
          <t>Multi-layer defense prevents abuse by individuals, coordinated groups, and automated bots. No single bypass compromises the system.</t>
        </is>
      </c>
    </row>
    <row r="183">
      <c r="A183" s="70" t="inlineStr">
        <is>
          <t>LAYER 1: PER-USER RATE LIMITING</t>
        </is>
      </c>
    </row>
    <row r="184">
      <c r="A184" s="66" t="inlineStr">
        <is>
          <t>Mechanism</t>
        </is>
      </c>
      <c r="B184" s="66" t="inlineStr">
        <is>
          <t>Limit</t>
        </is>
      </c>
      <c r="C184" s="66" t="inlineStr">
        <is>
          <t>Applies To</t>
        </is>
      </c>
      <c r="D184" s="66" t="inlineStr">
        <is>
          <t>What It Stops</t>
        </is>
      </c>
    </row>
    <row r="185">
      <c r="A185" t="inlineStr">
        <is>
          <t>Scan cooldown</t>
        </is>
      </c>
      <c r="B185" t="inlineStr">
        <is>
          <t>Free: 120s, Pro: 15s, Team: 0s</t>
        </is>
      </c>
      <c r="C185" t="inlineStr">
        <is>
          <t>Individual users</t>
        </is>
      </c>
      <c r="D185" t="inlineStr">
        <is>
          <t>Rapid-fire scanning</t>
        </is>
      </c>
    </row>
    <row r="186">
      <c r="A186" t="inlineStr">
        <is>
          <t>Daily scan cap</t>
        </is>
      </c>
      <c r="B186" t="inlineStr">
        <is>
          <t>Free: 3, Pro: 25, Team: 100</t>
        </is>
      </c>
      <c r="C186" t="inlineStr">
        <is>
          <t>Individual users</t>
        </is>
      </c>
      <c r="D186" t="inlineStr">
        <is>
          <t>Day-long grinding</t>
        </is>
      </c>
    </row>
    <row r="187">
      <c r="A187" t="inlineStr">
        <is>
          <t>Hourly scan cap</t>
        </is>
      </c>
      <c r="B187" t="inlineStr">
        <is>
          <t>30/hour all tiers</t>
        </is>
      </c>
      <c r="C187" t="inlineStr">
        <is>
          <t>Individual users</t>
        </is>
      </c>
      <c r="D187" t="inlineStr">
        <is>
          <t>Burst abuse within caps</t>
        </is>
      </c>
    </row>
    <row r="188">
      <c r="A188" t="inlineStr">
        <is>
          <t>Marcus AI query cap</t>
        </is>
      </c>
      <c r="B188" t="inlineStr">
        <is>
          <t>Free: 0, Pro: 10, Team: 100</t>
        </is>
      </c>
      <c r="C188" t="inlineStr">
        <is>
          <t>Individual users</t>
        </is>
      </c>
      <c r="D188" t="inlineStr">
        <is>
          <t>LLM cost runaway</t>
        </is>
      </c>
    </row>
    <row r="190">
      <c r="A190" s="70" t="inlineStr">
        <is>
          <t>LAYER 2: GLOBAL SYSTEM PROTECTION</t>
        </is>
      </c>
    </row>
    <row r="191">
      <c r="A191" s="66" t="inlineStr">
        <is>
          <t>Mechanism</t>
        </is>
      </c>
      <c r="B191" s="66" t="inlineStr">
        <is>
          <t>Limit</t>
        </is>
      </c>
      <c r="C191" s="66" t="inlineStr">
        <is>
          <t>Scope</t>
        </is>
      </c>
      <c r="D191" s="66" t="inlineStr">
        <is>
          <t>What It Stops</t>
        </is>
      </c>
    </row>
    <row r="192">
      <c r="A192" t="inlineStr">
        <is>
          <t>Global scan throttle</t>
        </is>
      </c>
      <c r="B192" t="inlineStr">
        <is>
          <t>50 scans / 60 seconds</t>
        </is>
      </c>
      <c r="C192" t="inlineStr">
        <is>
          <t>All users combined</t>
        </is>
      </c>
      <c r="D192" t="inlineStr">
        <is>
          <t>DDoS / coordinated spam</t>
        </is>
      </c>
    </row>
    <row r="193">
      <c r="A193" t="inlineStr">
        <is>
          <t>API rate limit (free)</t>
        </is>
      </c>
      <c r="B193" t="inlineStr">
        <is>
          <t>50 calls/hour per IP</t>
        </is>
      </c>
      <c r="C193" t="inlineStr">
        <is>
          <t>IP-based, no auth</t>
        </is>
      </c>
      <c r="D193" t="inlineStr">
        <is>
          <t>Scraping / bots</t>
        </is>
      </c>
    </row>
    <row r="194">
      <c r="A194" t="inlineStr">
        <is>
          <t>API rate limit (keyed)</t>
        </is>
      </c>
      <c r="B194" t="inlineStr">
        <is>
          <t>25-500/hour by plan</t>
        </is>
      </c>
      <c r="C194" t="inlineStr">
        <is>
          <t>API key required</t>
        </is>
      </c>
      <c r="D194" t="inlineStr">
        <is>
          <t>Commercial overuse</t>
        </is>
      </c>
    </row>
    <row r="196">
      <c r="A196" s="70" t="inlineStr">
        <is>
          <t>LAYER 3: ACCESS CONTROL &amp; BLOCKING</t>
        </is>
      </c>
    </row>
    <row r="197">
      <c r="A197" s="66" t="inlineStr">
        <is>
          <t>Control</t>
        </is>
      </c>
      <c r="B197" s="66" t="inlineStr">
        <is>
          <t>Mechanism</t>
        </is>
      </c>
      <c r="C197" s="66" t="inlineStr">
        <is>
          <t>When Used</t>
        </is>
      </c>
      <c r="D197" s="66" t="n"/>
    </row>
    <row r="198">
      <c r="A198" t="inlineStr">
        <is>
          <t>Whitelist mode</t>
        </is>
      </c>
      <c r="B198" t="inlineStr">
        <is>
          <t>REQUIRE_WHITELIST = True</t>
        </is>
      </c>
      <c r="C198" s="69" t="inlineStr">
        <is>
          <t>Only pre-approved users can access. Instant lockdown.</t>
        </is>
      </c>
    </row>
    <row r="199">
      <c r="A199" t="inlineStr">
        <is>
          <t>Admin override</t>
        </is>
      </c>
      <c r="B199" t="inlineStr">
        <is>
          <t>2 admin IDs bypass all limits</t>
        </is>
      </c>
      <c r="C199" s="69" t="inlineStr">
        <is>
          <t>Emergency intervention and testing.</t>
        </is>
      </c>
    </row>
    <row r="200">
      <c r="A200" t="inlineStr">
        <is>
          <t>QA exemptions</t>
        </is>
      </c>
      <c r="B200" t="inlineStr">
        <is>
          <t>SCAN_EXEMPT_GROUPS list</t>
        </is>
      </c>
      <c r="C200" s="69" t="inlineStr">
        <is>
          <t>Internal testing without hitting rate limits.</t>
        </is>
      </c>
    </row>
    <row r="201">
      <c r="A201" t="inlineStr">
        <is>
          <t>Blacklist</t>
        </is>
      </c>
      <c r="B201" t="inlineStr">
        <is>
          <t>BLACKLISTED_USERS permanent ban</t>
        </is>
      </c>
      <c r="C201" s="69" t="inlineStr">
        <is>
          <t>Individual bad actors blocked by user ID.</t>
        </is>
      </c>
    </row>
    <row r="202">
      <c r="A202" t="inlineStr">
        <is>
          <t>Token self-exclusion</t>
        </is>
      </c>
      <c r="B202" t="inlineStr">
        <is>
          <t>Own CRM tokens excluded from warnings</t>
        </is>
      </c>
      <c r="C202" s="69" t="inlineStr">
        <is>
          <t>Prevents false-flagging project tokens.</t>
        </is>
      </c>
    </row>
    <row r="204">
      <c r="A204" s="70" t="inlineStr">
        <is>
          <t>SCENARIO: COORDINATED SPAM ATTACK (e.g. hostile group targets the bot)</t>
        </is>
      </c>
    </row>
    <row r="205">
      <c r="A205" s="90" t="inlineStr">
        <is>
          <t>Attack: 100 hostile accounts each create free accounts and max out scans.</t>
        </is>
      </c>
    </row>
    <row r="206">
      <c r="A206" s="90" t="inlineStr">
        <is>
          <t>Max damage: 100 users × 3 scans/day = 300 scans. Global limit: 50/min = they queue for 6 minutes. API cost: 300 × $0.002 = $0.60/day.</t>
        </is>
      </c>
    </row>
    <row r="207">
      <c r="A207" s="90" t="inlineStr">
        <is>
          <t>Response: Enable whitelist mode → all non-approved users blocked instantly. Add user IDs to BLACKLISTED_USERS → permanent.</t>
        </is>
      </c>
    </row>
    <row r="208">
      <c r="A208" s="90" t="inlineStr">
        <is>
          <t>If they pay for Pro ($5/mo each): 100 × 25 scans = 2,500/day. Cost: ~$5/day. Revenue: $500/mo. NET POSITIVE even under attack.</t>
        </is>
      </c>
    </row>
    <row r="209">
      <c r="A209" s="90" t="inlineStr">
        <is>
          <t>Nuclear option: Admin blocks entire group, revokes API keys. Bot continues serving legitimate users uninterrupted.</t>
        </is>
      </c>
    </row>
    <row r="211">
      <c r="A211" s="90" t="inlineStr">
        <is>
          <t>Architecture is defense-in-depth: cooldowns → daily caps → hourly caps → global throttle → whitelist → blacklist → admin override.</t>
        </is>
      </c>
    </row>
    <row r="212">
      <c r="A212" s="90" t="inlineStr">
        <is>
          <t>No single point of failure. Cost of attacking exceeds cost to defend. Paying attackers generate revenue.</t>
        </is>
      </c>
    </row>
    <row r="214">
      <c r="A214" s="92" t="inlineStr">
        <is>
          <t>📉  DISCOUNT STRATEGY — Early Adopter Lock-In → Mature Phase Reduction</t>
        </is>
      </c>
    </row>
    <row r="215">
      <c r="A215" s="90" t="inlineStr">
        <is>
          <t>Phase 1 = aggressive discounts to drive adoption and token buy pressure. Phase 2 = normalize once the flywheel is spinning.</t>
        </is>
      </c>
    </row>
    <row r="217">
      <c r="A217" s="70" t="inlineStr">
        <is>
          <t>PHASE DEFINITIONS</t>
        </is>
      </c>
    </row>
    <row r="218">
      <c r="A218" s="66" t="n"/>
      <c r="B218" s="66" t="inlineStr">
        <is>
          <t>Phase 1 (Early)</t>
        </is>
      </c>
      <c r="C218" s="66" t="inlineStr">
        <is>
          <t>Phase 2 (Mature)</t>
        </is>
      </c>
      <c r="D218" s="66" t="n"/>
      <c r="E218" s="66" t="n"/>
    </row>
    <row r="219">
      <c r="A219" t="inlineStr">
        <is>
          <t>Phase trigger</t>
        </is>
      </c>
      <c r="B219" t="inlineStr">
        <is>
          <t>Launch → 500 holders</t>
        </is>
      </c>
      <c r="C219" t="inlineStr">
        <is>
          <t>500+ holders</t>
        </is>
      </c>
    </row>
    <row r="220">
      <c r="A220" t="inlineStr">
        <is>
          <t>🥉 Bronze discount</t>
        </is>
      </c>
      <c r="B220" s="81" t="n">
        <v>0.1</v>
      </c>
      <c r="C220" s="82" t="n">
        <v>0.05</v>
      </c>
    </row>
    <row r="221">
      <c r="A221" t="inlineStr">
        <is>
          <t>🥈 Silver discount</t>
        </is>
      </c>
      <c r="B221" s="81" t="n">
        <v>0.2</v>
      </c>
      <c r="C221" s="82" t="n">
        <v>0.1</v>
      </c>
    </row>
    <row r="222">
      <c r="A222" t="inlineStr">
        <is>
          <t>🥇 Gold discount</t>
        </is>
      </c>
      <c r="B222" s="81" t="n">
        <v>0.35</v>
      </c>
      <c r="C222" s="82" t="n">
        <v>0.2</v>
      </c>
    </row>
    <row r="223">
      <c r="A223" t="inlineStr">
        <is>
          <t>💎 Diamond discount</t>
        </is>
      </c>
      <c r="B223" s="81" t="n">
        <v>0.5</v>
      </c>
      <c r="C223" s="82" t="n">
        <v>0.3</v>
      </c>
    </row>
    <row r="224">
      <c r="A224" t="inlineStr">
        <is>
          <t>Grandfathering</t>
        </is>
      </c>
      <c r="B224" t="inlineStr">
        <is>
          <t>Early users lock Phase 1 rates permanently</t>
        </is>
      </c>
      <c r="C224" t="inlineStr">
        <is>
          <t>New users get Phase 2 rates only</t>
        </is>
      </c>
    </row>
    <row r="226">
      <c r="A226" s="66" t="n"/>
      <c r="B226" s="66" t="inlineStr">
        <is>
          <t>Phase 2 Price</t>
        </is>
      </c>
      <c r="C226" s="66" t="inlineStr">
        <is>
          <t>Phase 1 Price (compare)</t>
        </is>
      </c>
      <c r="D226" s="66" t="n"/>
      <c r="E226" s="66" t="n"/>
    </row>
    <row r="227">
      <c r="A227" t="inlineStr">
        <is>
          <t>🥉 Bronze Pro (Phase 2)</t>
        </is>
      </c>
      <c r="B227" s="73">
        <f>ROUND($C$34*(1-C220),2)</f>
        <v/>
      </c>
      <c r="C227" s="83">
        <f>C38</f>
        <v/>
      </c>
    </row>
    <row r="228">
      <c r="A228" t="inlineStr">
        <is>
          <t>🥈 Silver Pro (Phase 2)</t>
        </is>
      </c>
      <c r="B228" s="73">
        <f>ROUND($C$34*(1-C221),2)</f>
        <v/>
      </c>
      <c r="C228" s="83">
        <f>C39</f>
        <v/>
      </c>
    </row>
    <row r="229">
      <c r="A229" t="inlineStr">
        <is>
          <t>🥇 Gold Pro (Phase 2)</t>
        </is>
      </c>
      <c r="B229" s="73">
        <f>ROUND($C$34*(1-C222),2)</f>
        <v/>
      </c>
      <c r="C229" s="83">
        <f>C40</f>
        <v/>
      </c>
    </row>
    <row r="230">
      <c r="A230" t="inlineStr">
        <is>
          <t>💎 Diamond Pro (Phase 2)</t>
        </is>
      </c>
      <c r="B230" s="73">
        <f>ROUND($C$34*(1-C223),2)</f>
        <v/>
      </c>
      <c r="C230" s="83">
        <f>C41</f>
        <v/>
      </c>
    </row>
    <row r="233">
      <c r="A233" s="70" t="inlineStr">
        <is>
          <t>REVENUE IMPACT — Phase 1 vs Phase 2 (1K user scenario)</t>
        </is>
      </c>
    </row>
    <row r="234">
      <c r="A234" s="67" t="inlineStr">
        <is>
          <t>Phase 1 total monthly revenue</t>
        </is>
      </c>
      <c r="B234" s="75">
        <f>E69</f>
        <v/>
      </c>
    </row>
    <row r="235">
      <c r="A235" t="inlineStr">
        <is>
          <t>Revenue lost to Phase 1 discounts</t>
        </is>
      </c>
      <c r="B235" s="75">
        <f>E78</f>
        <v/>
      </c>
    </row>
    <row r="236">
      <c r="A236" t="inlineStr">
        <is>
          <t>% reduction from Phase 1 discounts</t>
        </is>
      </c>
      <c r="B236" s="84">
        <f>E79</f>
        <v/>
      </c>
    </row>
    <row r="238">
      <c r="A238" s="67" t="inlineStr">
        <is>
          <t>Est. Phase 2 discount savings (recovered revenue)</t>
        </is>
      </c>
      <c r="B238" s="85">
        <f>ROUND(E78*0.4,0)</f>
        <v/>
      </c>
      <c r="F238" s="69" t="inlineStr">
        <is>
          <t>≈40% of Phase 1 discount cost recovered when max drops 50%→30%</t>
        </is>
      </c>
    </row>
    <row r="240">
      <c r="A240" s="90" t="inlineStr">
        <is>
          <t>Early adopter strategy: Diamond at 50% is a powerful draw. At current price, Diamond buy-in is ~$3,000 worth of $CRM locked.</t>
        </is>
      </c>
    </row>
    <row r="241">
      <c r="A241" s="90" t="inlineStr">
        <is>
          <t>Once 500+ holders are locked in, Phase 2 reduces max discount to 30%. Early adopters keep 50% — reward for early conviction.</t>
        </is>
      </c>
    </row>
    <row r="242">
      <c r="A242" s="90" t="inlineStr">
        <is>
          <t>This creates FOMO to lock in Phase 1 rates and HOLD to keep the grandfathered discount. Selling tokens = losing the locked-in rate.</t>
        </is>
      </c>
    </row>
    <row r="243">
      <c r="A243" s="123" t="inlineStr">
        <is>
          <t>⚠️ NOTE: Current code uses FLAT 30% for 500K+ CRM (not graduated). See Section 10 below for full discrepancy analysis.</t>
        </is>
      </c>
    </row>
    <row r="244">
      <c r="A244" s="92" t="inlineStr">
        <is>
          <t>🎮  FEATURE UNLOCK MATRIX — Hold More, Get More</t>
        </is>
      </c>
    </row>
    <row r="245">
      <c r="A245" s="90" t="inlineStr">
        <is>
          <t>Beyond discounts: each tier unlocks exclusive features. This is the core utility argument for holding $CRM — the token is not just a coupon, it is a key.</t>
        </is>
      </c>
    </row>
    <row r="247">
      <c r="A247" s="66" t="inlineStr">
        <is>
          <t>Feature</t>
        </is>
      </c>
      <c r="B247" s="66" t="inlineStr">
        <is>
          <t>🥉 Bronze</t>
        </is>
      </c>
      <c r="C247" s="66" t="inlineStr">
        <is>
          <t>🥈 Silver</t>
        </is>
      </c>
      <c r="D247" s="66" t="inlineStr">
        <is>
          <t>🥇 Gold</t>
        </is>
      </c>
      <c r="E247" s="66" t="inlineStr">
        <is>
          <t>💎 Diamond</t>
        </is>
      </c>
      <c r="F247" s="67" t="inlineStr">
        <is>
          <t>Notes</t>
        </is>
      </c>
    </row>
    <row r="248">
      <c r="A248" t="inlineStr">
        <is>
          <t>Scan cards / day</t>
        </is>
      </c>
      <c r="B248" s="86" t="n">
        <v>5</v>
      </c>
      <c r="C248" s="86" t="n">
        <v>5</v>
      </c>
      <c r="D248" s="87" t="n">
        <v>15</v>
      </c>
      <c r="E248" s="87" t="n">
        <v>25</v>
      </c>
    </row>
    <row r="249">
      <c r="A249" t="inlineStr">
        <is>
          <t>Win cards / day</t>
        </is>
      </c>
      <c r="B249" s="86" t="n">
        <v>5</v>
      </c>
      <c r="C249" s="86" t="n">
        <v>5</v>
      </c>
      <c r="D249" s="87" t="n">
        <v>10</v>
      </c>
      <c r="E249" s="87" t="n">
        <v>20</v>
      </c>
    </row>
    <row r="250">
      <c r="A250" t="inlineStr">
        <is>
          <t>Price alerts</t>
        </is>
      </c>
      <c r="B250" s="86" t="n">
        <v>10</v>
      </c>
      <c r="C250" s="86" t="n">
        <v>10</v>
      </c>
      <c r="D250" s="87" t="n">
        <v>20</v>
      </c>
      <c r="E250" s="87" t="n">
        <v>30</v>
      </c>
    </row>
    <row r="251">
      <c r="A251" t="inlineStr">
        <is>
          <t>Tracked wallets</t>
        </is>
      </c>
      <c r="B251" s="86" t="n">
        <v>5</v>
      </c>
      <c r="C251" s="86" t="n">
        <v>5</v>
      </c>
      <c r="D251" s="86" t="n">
        <v>50</v>
      </c>
      <c r="E251" s="87" t="n">
        <v>70</v>
      </c>
    </row>
    <row r="252">
      <c r="A252" t="inlineStr">
        <is>
          <t>Portfolio positions</t>
        </is>
      </c>
      <c r="B252" s="86" t="n">
        <v>20</v>
      </c>
      <c r="C252" s="86" t="n">
        <v>20</v>
      </c>
      <c r="D252" s="87" t="n">
        <v>50</v>
      </c>
      <c r="E252" s="87" t="n">
        <v>70</v>
      </c>
    </row>
    <row r="253">
      <c r="A253" t="inlineStr">
        <is>
          <t>Scan history</t>
        </is>
      </c>
      <c r="B253" s="86" t="inlineStr">
        <is>
          <t>30 days</t>
        </is>
      </c>
      <c r="C253" s="86" t="inlineStr">
        <is>
          <t>30 days</t>
        </is>
      </c>
      <c r="D253" s="108" t="inlineStr">
        <is>
          <t>60 days</t>
        </is>
      </c>
      <c r="E253" s="108" t="inlineStr">
        <is>
          <t>90 days</t>
        </is>
      </c>
    </row>
    <row r="254">
      <c r="A254" t="inlineStr">
        <is>
          <t>Marcus AI queries / day</t>
        </is>
      </c>
      <c r="B254" s="86" t="n">
        <v>10</v>
      </c>
      <c r="C254" s="86" t="n">
        <v>10</v>
      </c>
      <c r="D254" s="87" t="n">
        <v>20</v>
      </c>
      <c r="E254" s="87" t="n">
        <v>30</v>
      </c>
      <c r="F254" s="69" t="inlineStr">
        <is>
          <t>Claude Sonnet + Gemini Flash</t>
        </is>
      </c>
    </row>
    <row r="255">
      <c r="A255" t="inlineStr">
        <is>
          <t>Comparison scans / day</t>
        </is>
      </c>
      <c r="B255" s="86" t="n">
        <v>3</v>
      </c>
      <c r="C255" s="86" t="n">
        <v>3</v>
      </c>
      <c r="D255" s="87" t="n">
        <v>5</v>
      </c>
      <c r="E255" s="87" t="n">
        <v>5</v>
      </c>
    </row>
    <row r="256">
      <c r="A256" t="inlineStr">
        <is>
          <t>Deep analysis level</t>
        </is>
      </c>
      <c r="B256" s="86" t="inlineStr">
        <is>
          <t>Basic</t>
        </is>
      </c>
      <c r="C256" s="86" t="inlineStr">
        <is>
          <t>Basic</t>
        </is>
      </c>
      <c r="D256" s="86" t="inlineStr">
        <is>
          <t>Full + API</t>
        </is>
      </c>
      <c r="E256" s="86" t="inlineStr">
        <is>
          <t>Full + API + Beta</t>
        </is>
      </c>
    </row>
    <row r="257">
      <c r="A257" t="inlineStr">
        <is>
          <t>API access</t>
        </is>
      </c>
      <c r="B257" s="88" t="inlineStr">
        <is>
          <t>—</t>
        </is>
      </c>
      <c r="C257" s="88" t="inlineStr">
        <is>
          <t>—</t>
        </is>
      </c>
      <c r="D257" s="87" t="inlineStr">
        <is>
          <t>Yes</t>
        </is>
      </c>
      <c r="E257" s="87" t="inlineStr">
        <is>
          <t>Yes</t>
        </is>
      </c>
      <c r="F257" s="69" t="inlineStr">
        <is>
          <t>60 req/min (Gold), 120 req/min (Diamond)</t>
        </is>
      </c>
    </row>
    <row r="258">
      <c r="A258" t="inlineStr">
        <is>
          <t>Priority support</t>
        </is>
      </c>
      <c r="B258" s="88" t="inlineStr">
        <is>
          <t>—</t>
        </is>
      </c>
      <c r="C258" s="88" t="inlineStr">
        <is>
          <t>—</t>
        </is>
      </c>
      <c r="D258" s="87" t="inlineStr">
        <is>
          <t>Yes</t>
        </is>
      </c>
      <c r="E258" s="87" t="inlineStr">
        <is>
          <t>Yes</t>
        </is>
      </c>
    </row>
    <row r="259">
      <c r="A259" t="inlineStr">
        <is>
          <t>Beta features</t>
        </is>
      </c>
      <c r="B259" s="88" t="inlineStr">
        <is>
          <t>—</t>
        </is>
      </c>
      <c r="C259" s="88" t="inlineStr">
        <is>
          <t>—</t>
        </is>
      </c>
      <c r="D259" s="88" t="inlineStr">
        <is>
          <t>—</t>
        </is>
      </c>
      <c r="E259" s="87" t="inlineStr">
        <is>
          <t>Yes</t>
        </is>
      </c>
      <c r="F259" s="69" t="inlineStr">
        <is>
          <t>Early access to new capabilities</t>
        </is>
      </c>
    </row>
    <row r="260">
      <c r="A260" t="inlineStr">
        <is>
          <t>Wallet trust scores</t>
        </is>
      </c>
      <c r="B260" s="88" t="inlineStr">
        <is>
          <t>—</t>
        </is>
      </c>
      <c r="C260" s="86" t="inlineStr">
        <is>
          <t>Basic</t>
        </is>
      </c>
      <c r="D260" s="86" t="inlineStr">
        <is>
          <t>Full</t>
        </is>
      </c>
      <c r="E260" s="86" t="inlineStr">
        <is>
          <t>Full + alerts</t>
        </is>
      </c>
      <c r="F260" s="69" t="inlineStr">
        <is>
          <t>See Section 6 below</t>
        </is>
      </c>
    </row>
    <row r="261">
      <c r="A261" t="inlineStr">
        <is>
          <t>Coin trust scores</t>
        </is>
      </c>
      <c r="B261" s="88" t="inlineStr">
        <is>
          <t>—</t>
        </is>
      </c>
      <c r="C261" s="86" t="inlineStr">
        <is>
          <t>View</t>
        </is>
      </c>
      <c r="D261" s="86" t="inlineStr">
        <is>
          <t>View + trends</t>
        </is>
      </c>
      <c r="E261" s="86" t="inlineStr">
        <is>
          <t>View + trends + export</t>
        </is>
      </c>
      <c r="F261" s="69" t="inlineStr">
        <is>
          <t>See Section 7 below</t>
        </is>
      </c>
    </row>
    <row r="262">
      <c r="A262" t="inlineStr">
        <is>
          <t>Recent scans feed</t>
        </is>
      </c>
      <c r="B262" s="88" t="inlineStr">
        <is>
          <t>—</t>
        </is>
      </c>
      <c r="C262" s="88" t="inlineStr">
        <is>
          <t>—</t>
        </is>
      </c>
      <c r="D262" s="86" t="inlineStr">
        <is>
          <t>View (24h)</t>
        </is>
      </c>
      <c r="E262" s="86" t="inlineStr">
        <is>
          <t>Full history + filter</t>
        </is>
      </c>
      <c r="F262" s="69" t="inlineStr">
        <is>
          <t>Community scan intelligence</t>
        </is>
      </c>
    </row>
    <row r="263">
      <c r="A263" t="inlineStr">
        <is>
          <t>KOL shill labeling</t>
        </is>
      </c>
      <c r="B263" s="88" t="inlineStr">
        <is>
          <t>—</t>
        </is>
      </c>
      <c r="C263" s="88" t="inlineStr">
        <is>
          <t>—</t>
        </is>
      </c>
      <c r="D263" s="87" t="inlineStr">
        <is>
          <t>Yes</t>
        </is>
      </c>
      <c r="E263" s="87" t="inlineStr">
        <is>
          <t>Yes</t>
        </is>
      </c>
      <c r="F263" s="69" t="inlineStr">
        <is>
          <t>Flag paid promoters</t>
        </is>
      </c>
    </row>
    <row r="264">
      <c r="A264" t="inlineStr">
        <is>
          <t>Bubblemaps analysis</t>
        </is>
      </c>
      <c r="B264" s="88" t="inlineStr">
        <is>
          <t>—</t>
        </is>
      </c>
      <c r="C264" s="88" t="inlineStr">
        <is>
          <t>—</t>
        </is>
      </c>
      <c r="D264" s="87" t="inlineStr">
        <is>
          <t>Yes</t>
        </is>
      </c>
      <c r="E264" s="87" t="inlineStr">
        <is>
          <t>Yes</t>
        </is>
      </c>
      <c r="F264" s="69" t="inlineStr">
        <is>
          <t>Wallet clustering visualization</t>
        </is>
      </c>
    </row>
    <row r="265">
      <c r="A265" t="inlineStr">
        <is>
          <t>Early buyer tracking</t>
        </is>
      </c>
      <c r="B265" s="88" t="inlineStr">
        <is>
          <t>—</t>
        </is>
      </c>
      <c r="C265" s="88" t="inlineStr">
        <is>
          <t>—</t>
        </is>
      </c>
      <c r="D265" s="88" t="inlineStr">
        <is>
          <t>—</t>
        </is>
      </c>
      <c r="E265" s="87" t="inlineStr">
        <is>
          <t>Yes</t>
        </is>
      </c>
      <c r="F265" s="69" t="inlineStr">
        <is>
          <t>See who bought before hype</t>
        </is>
      </c>
    </row>
    <row r="266">
      <c r="A266" t="inlineStr">
        <is>
          <t>x402 Agent API</t>
        </is>
      </c>
      <c r="B266" s="88" t="inlineStr">
        <is>
          <t>—</t>
        </is>
      </c>
      <c r="C266" s="88" t="inlineStr">
        <is>
          <t>—</t>
        </is>
      </c>
      <c r="D266" s="86" t="inlineStr">
        <is>
          <t>60 req/min</t>
        </is>
      </c>
      <c r="E266" s="86" t="inlineStr">
        <is>
          <t>120 req/min</t>
        </is>
      </c>
      <c r="F266" s="69" t="inlineStr">
        <is>
          <t>Programmatic scan access</t>
        </is>
      </c>
    </row>
    <row r="269">
      <c r="A269" s="90" t="inlineStr">
        <is>
          <t>Key: discounts reduce price, features increase VALUE. A Diamond holder doesn't just pay less — they get capabilities nobody else has.</t>
        </is>
      </c>
    </row>
    <row r="270">
      <c r="A270" s="90" t="inlineStr">
        <is>
          <t>This makes the $CRM token a productive asset, not just a coupon. Hold more = access more intelligence.</t>
        </is>
      </c>
    </row>
    <row r="272">
      <c r="A272" s="70" t="inlineStr">
        <is>
          <t>FEATURE VALUE ESTIMATE</t>
        </is>
      </c>
    </row>
    <row r="273">
      <c r="A273" s="66" t="n"/>
      <c r="B273" s="66" t="inlineStr">
        <is>
          <t>🥉 Bronze</t>
        </is>
      </c>
      <c r="C273" s="66" t="inlineStr">
        <is>
          <t>🥈 Silver</t>
        </is>
      </c>
      <c r="D273" s="66" t="inlineStr">
        <is>
          <t>🥇 Gold</t>
        </is>
      </c>
      <c r="E273" s="66" t="inlineStr">
        <is>
          <t>💎 Diamond</t>
        </is>
      </c>
    </row>
    <row r="274">
      <c r="A274" t="inlineStr">
        <is>
          <t>Equivalent standalone cost of features</t>
        </is>
      </c>
      <c r="B274" s="89" t="n">
        <v>0</v>
      </c>
      <c r="C274" s="89" t="n">
        <v>5</v>
      </c>
      <c r="D274" s="89" t="n">
        <v>15</v>
      </c>
      <c r="E274" s="89" t="n">
        <v>30</v>
      </c>
    </row>
    <row r="275">
      <c r="A275" t="inlineStr">
        <is>
          <t>Token buy-in cost at current price</t>
        </is>
      </c>
      <c r="B275" s="73">
        <f>B15*$B$5</f>
        <v/>
      </c>
      <c r="C275" s="73">
        <f>C15*$B$5</f>
        <v/>
      </c>
      <c r="D275" s="73">
        <f>D15*$B$5</f>
        <v/>
      </c>
      <c r="E275" s="73">
        <f>E15*$B$5</f>
        <v/>
      </c>
    </row>
    <row r="276">
      <c r="A276" t="inlineStr">
        <is>
          <t>Months to break even on features alone</t>
        </is>
      </c>
      <c r="B276" s="72">
        <f>IF(B274=0,"N/A",ROUND(B275/B274,1))</f>
        <v/>
      </c>
      <c r="C276" s="72">
        <f>IF(C274=0,"N/A",ROUND(C275/C274,1))</f>
        <v/>
      </c>
      <c r="D276" s="72">
        <f>IF(D274=0,"N/A",ROUND(D275/D274,1))</f>
        <v/>
      </c>
      <c r="E276" s="72">
        <f>IF(E274=0,"N/A",ROUND(E275/E274,1))</f>
        <v/>
      </c>
    </row>
    <row r="278">
      <c r="A278" s="92" t="inlineStr">
        <is>
          <t>🔍  WALLET TRUST SCORES — Scam Flagging &amp; Dev Wallet Intelligence</t>
        </is>
      </c>
    </row>
    <row r="279">
      <c r="A279" s="90" t="inlineStr">
        <is>
          <t>Every wallet scanned builds a reputation database. Known bad actors are flagged across all scans. The database grows with every user.</t>
        </is>
      </c>
    </row>
    <row r="281">
      <c r="A281" s="70" t="inlineStr">
        <is>
          <t>TRUST SCORE COMPONENTS (0-100 composite score)</t>
        </is>
      </c>
    </row>
    <row r="282">
      <c r="A282" s="66" t="inlineStr">
        <is>
          <t>Signal</t>
        </is>
      </c>
      <c r="B282" s="66" t="inlineStr">
        <is>
          <t>Weight</t>
        </is>
      </c>
      <c r="C282" s="66" t="inlineStr">
        <is>
          <t>Description</t>
        </is>
      </c>
      <c r="D282" s="66" t="n"/>
      <c r="E282" s="66" t="n"/>
    </row>
    <row r="283">
      <c r="A283" t="inlineStr">
        <is>
          <t>Deployer rug history</t>
        </is>
      </c>
      <c r="B283" s="68" t="inlineStr">
        <is>
          <t>30%</t>
        </is>
      </c>
      <c r="C283" s="69" t="inlineStr">
        <is>
          <t>How many tokens this deployer has previously rugged or abandoned</t>
        </is>
      </c>
    </row>
    <row r="284">
      <c r="A284" t="inlineStr">
        <is>
          <t>Wallet age</t>
        </is>
      </c>
      <c r="B284" s="68" t="inlineStr">
        <is>
          <t>15%</t>
        </is>
      </c>
      <c r="C284" s="69" t="inlineStr">
        <is>
          <t>Freshly created wallets are higher risk — days since first transaction</t>
        </is>
      </c>
    </row>
    <row r="285">
      <c r="A285" t="inlineStr">
        <is>
          <t>Transaction pattern</t>
        </is>
      </c>
      <c r="B285" s="68" t="inlineStr">
        <is>
          <t>20%</t>
        </is>
      </c>
      <c r="C285" s="69" t="inlineStr">
        <is>
          <t>Sybil detection, wash trading, coordinated buy/sell clustering</t>
        </is>
      </c>
    </row>
    <row r="286">
      <c r="A286" t="inlineStr">
        <is>
          <t>Known blacklist match</t>
        </is>
      </c>
      <c r="B286" s="68" t="inlineStr">
        <is>
          <t>25%</t>
        </is>
      </c>
      <c r="C286" s="69" t="inlineStr">
        <is>
          <t>Matched against community-reported scam wallets and GoPlus data</t>
        </is>
      </c>
    </row>
    <row r="287">
      <c r="A287" t="inlineStr">
        <is>
          <t>Fund source analysis</t>
        </is>
      </c>
      <c r="B287" s="68" t="inlineStr">
        <is>
          <t>10%</t>
        </is>
      </c>
      <c r="C287" s="69" t="inlineStr">
        <is>
          <t>Where deployer funded from: CEX (neutral), mixer/tornado (red flag)</t>
        </is>
      </c>
    </row>
    <row r="289">
      <c r="A289" s="70" t="inlineStr">
        <is>
          <t>FLAGGING SYSTEM</t>
        </is>
      </c>
    </row>
    <row r="290">
      <c r="A290" s="66" t="inlineStr">
        <is>
          <t>Flag Type</t>
        </is>
      </c>
      <c r="B290" s="66" t="inlineStr">
        <is>
          <t>Mechanism</t>
        </is>
      </c>
      <c r="C290" s="66" t="inlineStr">
        <is>
          <t>Effect</t>
        </is>
      </c>
      <c r="D290" s="66" t="n"/>
    </row>
    <row r="291">
      <c r="A291" t="inlineStr">
        <is>
          <t>Community flags</t>
        </is>
      </c>
      <c r="B291" t="inlineStr">
        <is>
          <t>Users flag suspicious wallets (5 flags/day limit per user)</t>
        </is>
      </c>
      <c r="C291" s="69" t="inlineStr">
        <is>
          <t>Crowdsourced intelligence — more users = better coverage</t>
        </is>
      </c>
    </row>
    <row r="292">
      <c r="A292" t="inlineStr">
        <is>
          <t>Auto-flags</t>
        </is>
      </c>
      <c r="B292" t="inlineStr">
        <is>
          <t>Bot detects: serial deployers, honeypots, freeze authority, mint authority</t>
        </is>
      </c>
      <c r="C292" s="69" t="inlineStr">
        <is>
          <t>Automated from on-chain analysis during scans</t>
        </is>
      </c>
    </row>
    <row r="293">
      <c r="A293" t="inlineStr">
        <is>
          <t>Admin flags</t>
        </is>
      </c>
      <c r="B293" t="inlineStr">
        <is>
          <t>Admins can permanently flag or block wallets</t>
        </is>
      </c>
      <c r="C293" s="69" t="inlineStr">
        <is>
          <t>Override for confirmed scams — instant effect</t>
        </is>
      </c>
    </row>
    <row r="294">
      <c r="A294" t="inlineStr">
        <is>
          <t>Flag thresholds</t>
        </is>
      </c>
      <c r="B294" t="inlineStr">
        <is>
          <t>5 community flags = auto-review. 10 flags = auto-warning badge.</t>
        </is>
      </c>
      <c r="C294" s="69" t="inlineStr">
        <is>
          <t>Graduated response prevents false positives</t>
        </is>
      </c>
    </row>
    <row r="296">
      <c r="A296" s="70" t="inlineStr">
        <is>
          <t>HOW TRUST SCORES APPEAR IN SCANS</t>
        </is>
      </c>
    </row>
    <row r="297">
      <c r="A297" s="90" t="inlineStr">
        <is>
          <t>When a user scans a token, the deployer wallet is automatically checked against the trust score database.</t>
        </is>
      </c>
    </row>
    <row r="298">
      <c r="A298" s="90" t="inlineStr">
        <is>
          <t>Deployer trust &lt; 30: ⚠️ WARNING badge shown on scan result. Deployer trust &lt; 10: 🚨 KNOWN SCAMMER badge.</t>
        </is>
      </c>
    </row>
    <row r="299">
      <c r="A299" s="90" t="inlineStr">
        <is>
          <t>Silver+ holders see full trust score breakdown. Gold+ get real-time alerts when flagged wallets deploy new tokens.</t>
        </is>
      </c>
    </row>
    <row r="300">
      <c r="A300" s="90" t="inlineStr">
        <is>
          <t>Data sources: GoPlus Security API, community flags, internal scan history, Bubblemaps cluster analysis.</t>
        </is>
      </c>
    </row>
    <row r="301">
      <c r="A301" s="90" t="inlineStr">
        <is>
          <t>This database grows with every scan — network effect. More users = better scam detection for everyone.</t>
        </is>
      </c>
    </row>
    <row r="303">
      <c r="A303" s="92" t="inlineStr">
        <is>
          <t>📊  COIN TRUST SCORES &amp; SCAN DATABASE — Crowd Intelligence</t>
        </is>
      </c>
    </row>
    <row r="304">
      <c r="A304" s="90" t="inlineStr">
        <is>
          <t>Every scan contributes to a shared intelligence database. Users see aggregated risk data across the entire community.</t>
        </is>
      </c>
    </row>
    <row r="306">
      <c r="A306" s="70" t="inlineStr">
        <is>
          <t>COIN TRUST SCORE MODEL</t>
        </is>
      </c>
    </row>
    <row r="307">
      <c r="A307" s="66" t="inlineStr">
        <is>
          <t>Factor</t>
        </is>
      </c>
      <c r="B307" s="66" t="inlineStr">
        <is>
          <t>Weight</t>
        </is>
      </c>
      <c r="C307" s="66" t="inlineStr">
        <is>
          <t>Description</t>
        </is>
      </c>
      <c r="D307" s="66" t="n"/>
      <c r="E307" s="66" t="n"/>
    </row>
    <row r="308">
      <c r="A308" t="inlineStr">
        <is>
          <t>Automated risk score</t>
        </is>
      </c>
      <c r="B308" s="68" t="inlineStr">
        <is>
          <t>35%</t>
        </is>
      </c>
      <c r="C308" s="69" t="inlineStr">
        <is>
          <t>Contract analysis: honeypot check, tax, mint/freeze authority, liquidity locks</t>
        </is>
      </c>
    </row>
    <row r="309">
      <c r="A309" t="inlineStr">
        <is>
          <t>Community votes</t>
        </is>
      </c>
      <c r="B309" s="68" t="inlineStr">
        <is>
          <t>20%</t>
        </is>
      </c>
      <c r="C309" s="69" t="inlineStr">
        <is>
          <t>Up/down voting on scanned tokens — crowd sentiment</t>
        </is>
      </c>
    </row>
    <row r="310">
      <c r="A310" t="inlineStr">
        <is>
          <t>Scan frequency</t>
        </is>
      </c>
      <c r="B310" s="68" t="inlineStr">
        <is>
          <t>15%</t>
        </is>
      </c>
      <c r="C310" s="69" t="inlineStr">
        <is>
          <t>More scans = more data points = higher confidence</t>
        </is>
      </c>
    </row>
    <row r="311">
      <c r="A311" t="inlineStr">
        <is>
          <t>Deployer trust score</t>
        </is>
      </c>
      <c r="B311" s="68" t="inlineStr">
        <is>
          <t>20%</t>
        </is>
      </c>
      <c r="C311" s="69" t="inlineStr">
        <is>
          <t>From wallet trust database (Section 6) — inherited risk</t>
        </is>
      </c>
    </row>
    <row r="312">
      <c r="A312" t="inlineStr">
        <is>
          <t>Age + liquidity trend</t>
        </is>
      </c>
      <c r="B312" s="68" t="inlineStr">
        <is>
          <t>10%</t>
        </is>
      </c>
      <c r="C312" s="69" t="inlineStr">
        <is>
          <t>Is the token getting healthier or degrading over time?</t>
        </is>
      </c>
    </row>
    <row r="314">
      <c r="A314" s="70" t="inlineStr">
        <is>
          <t>SCAN DATABASE FEATURES BY TIER</t>
        </is>
      </c>
    </row>
    <row r="315">
      <c r="A315" s="66" t="inlineStr">
        <is>
          <t>Feature</t>
        </is>
      </c>
      <c r="B315" s="66" t="inlineStr">
        <is>
          <t>🆓 Free</t>
        </is>
      </c>
      <c r="C315" s="66" t="inlineStr">
        <is>
          <t>🥉 Bronze+</t>
        </is>
      </c>
      <c r="D315" s="66" t="inlineStr">
        <is>
          <t>🥇 Gold+</t>
        </is>
      </c>
      <c r="E315" s="66" t="inlineStr">
        <is>
          <t>💎 Diamond</t>
        </is>
      </c>
    </row>
    <row r="316">
      <c r="A316" t="inlineStr">
        <is>
          <t>See risk score on scan</t>
        </is>
      </c>
      <c r="B316" s="87" t="inlineStr">
        <is>
          <t>Yes</t>
        </is>
      </c>
      <c r="C316" s="87" t="inlineStr">
        <is>
          <t>Yes</t>
        </is>
      </c>
      <c r="D316" s="87" t="inlineStr">
        <is>
          <t>Yes</t>
        </is>
      </c>
      <c r="E316" s="87" t="inlineStr">
        <is>
          <t>Yes</t>
        </is>
      </c>
    </row>
    <row r="317">
      <c r="A317" t="inlineStr">
        <is>
          <t>See community votes</t>
        </is>
      </c>
      <c r="B317" s="88" t="inlineStr">
        <is>
          <t>No</t>
        </is>
      </c>
      <c r="C317" s="87" t="inlineStr">
        <is>
          <t>Yes</t>
        </is>
      </c>
      <c r="D317" s="87" t="inlineStr">
        <is>
          <t>Yes</t>
        </is>
      </c>
      <c r="E317" s="87" t="inlineStr">
        <is>
          <t>Yes</t>
        </is>
      </c>
    </row>
    <row r="318">
      <c r="A318" t="inlineStr">
        <is>
          <t>Recent scans feed</t>
        </is>
      </c>
      <c r="B318" s="88" t="inlineStr">
        <is>
          <t>No</t>
        </is>
      </c>
      <c r="C318" s="88" t="inlineStr">
        <is>
          <t>No</t>
        </is>
      </c>
      <c r="D318" s="86" t="inlineStr">
        <is>
          <t>24h window</t>
        </is>
      </c>
      <c r="E318" s="86" t="inlineStr">
        <is>
          <t>Full history</t>
        </is>
      </c>
    </row>
    <row r="319">
      <c r="A319" t="inlineStr">
        <is>
          <t>Trending risky coins</t>
        </is>
      </c>
      <c r="B319" s="88" t="inlineStr">
        <is>
          <t>No</t>
        </is>
      </c>
      <c r="C319" s="88" t="inlineStr">
        <is>
          <t>No</t>
        </is>
      </c>
      <c r="D319" s="87" t="inlineStr">
        <is>
          <t>Yes</t>
        </is>
      </c>
      <c r="E319" s="87" t="inlineStr">
        <is>
          <t>Yes</t>
        </is>
      </c>
    </row>
    <row r="320">
      <c r="A320" t="inlineStr">
        <is>
          <t>Historical trend charts</t>
        </is>
      </c>
      <c r="B320" s="88" t="inlineStr">
        <is>
          <t>No</t>
        </is>
      </c>
      <c r="C320" s="88" t="inlineStr">
        <is>
          <t>No</t>
        </is>
      </c>
      <c r="D320" s="88" t="inlineStr">
        <is>
          <t>No</t>
        </is>
      </c>
      <c r="E320" s="87" t="inlineStr">
        <is>
          <t>Yes</t>
        </is>
      </c>
    </row>
    <row r="321">
      <c r="A321" t="inlineStr">
        <is>
          <t>Export scan data</t>
        </is>
      </c>
      <c r="B321" s="88" t="inlineStr">
        <is>
          <t>No</t>
        </is>
      </c>
      <c r="C321" s="88" t="inlineStr">
        <is>
          <t>No</t>
        </is>
      </c>
      <c r="D321" s="88" t="inlineStr">
        <is>
          <t>No</t>
        </is>
      </c>
      <c r="E321" s="87" t="inlineStr">
        <is>
          <t>Yes</t>
        </is>
      </c>
    </row>
    <row r="323">
      <c r="A323" s="90" t="inlineStr">
        <is>
          <t>THE MOAT: The scan database is cumulative. Every scan makes the platform smarter. Competitors would need to rebuild from scratch.</t>
        </is>
      </c>
    </row>
    <row r="324">
      <c r="A324" s="90" t="inlineStr">
        <is>
          <t>At 1K users doing 10 scans/day avg = 10,000 data points/day = 300,000/month. At 100K users = 30 million data points/month.</t>
        </is>
      </c>
    </row>
    <row r="325">
      <c r="A325" s="90" t="inlineStr">
        <is>
          <t>This is the network effect that makes $CRM defensible — the token buys access to crowd intelligence that no competing tool can replicate.</t>
        </is>
      </c>
    </row>
    <row r="327">
      <c r="A327" s="109" t="inlineStr">
        <is>
          <t>🤖  x402 AGENT API — Per-Request Revenue Model</t>
        </is>
      </c>
      <c r="B327" s="93" t="n"/>
      <c r="C327" s="93" t="n"/>
      <c r="D327" s="93" t="n"/>
      <c r="E327" s="93" t="n"/>
      <c r="F327" s="93" t="n"/>
    </row>
    <row r="328">
      <c r="A328" s="110" t="inlineStr">
        <is>
          <t>Separate revenue stream from subscriptions. AI agents and integrators pay per API call via USDC (Base or Solana). Zero platform fees.</t>
        </is>
      </c>
    </row>
    <row r="330">
      <c r="A330" s="111" t="inlineStr">
        <is>
          <t>ENDPOINT PRICING</t>
        </is>
      </c>
    </row>
    <row r="331">
      <c r="A331" s="112" t="inlineStr">
        <is>
          <t>Endpoint</t>
        </is>
      </c>
      <c r="B331" s="112" t="inlineStr">
        <is>
          <t>Price (USD)</t>
        </is>
      </c>
      <c r="C331" s="112" t="inlineStr">
        <is>
          <t>Category</t>
        </is>
      </c>
      <c r="D331" s="112" t="inlineStr">
        <is>
          <t>Est. API Cost to Serve</t>
        </is>
      </c>
    </row>
    <row r="332">
      <c r="A332" s="113" t="inlineStr">
        <is>
          <t>check-risk (single token)</t>
        </is>
      </c>
      <c r="B332" s="114" t="n">
        <v>5</v>
      </c>
      <c r="C332" s="110" t="inlineStr">
        <is>
          <t>Core scan</t>
        </is>
      </c>
      <c r="D332" s="114" t="n">
        <v>0.02</v>
      </c>
    </row>
    <row r="333">
      <c r="A333" s="113" t="inlineStr">
        <is>
          <t>check-risk (GET alias)</t>
        </is>
      </c>
      <c r="B333" s="114" t="n">
        <v>5</v>
      </c>
      <c r="C333" s="110" t="inlineStr">
        <is>
          <t>Core scan</t>
        </is>
      </c>
      <c r="D333" s="114" t="n">
        <v>0.02</v>
      </c>
    </row>
    <row r="334">
      <c r="A334" s="113" t="inlineStr">
        <is>
          <t>check-batch (up to 20 tokens)</t>
        </is>
      </c>
      <c r="B334" s="114" t="n">
        <v>7.5</v>
      </c>
      <c r="C334" s="110" t="inlineStr">
        <is>
          <t>Batch</t>
        </is>
      </c>
      <c r="D334" s="114" t="n">
        <v>0.3</v>
      </c>
    </row>
    <row r="335">
      <c r="A335" s="113" t="inlineStr">
        <is>
          <t>deployer history</t>
        </is>
      </c>
      <c r="B335" s="114" t="n">
        <v>10</v>
      </c>
      <c r="C335" s="110" t="inlineStr">
        <is>
          <t>Intelligence</t>
        </is>
      </c>
      <c r="D335" s="114" t="n">
        <v>0.05</v>
      </c>
    </row>
    <row r="336">
      <c r="A336" s="113" t="inlineStr">
        <is>
          <t>market-risk (Marcus Index)</t>
        </is>
      </c>
      <c r="B336" s="114" t="n">
        <v>5</v>
      </c>
      <c r="C336" s="110" t="inlineStr">
        <is>
          <t>Market</t>
        </is>
      </c>
      <c r="D336" s="114" t="n">
        <v>0.01</v>
      </c>
    </row>
    <row r="337">
      <c r="A337" s="113" t="inlineStr">
        <is>
          <t>serial-ruggers watchlist</t>
        </is>
      </c>
      <c r="B337" s="114" t="n">
        <v>5</v>
      </c>
      <c r="C337" s="110" t="inlineStr">
        <is>
          <t>Intelligence</t>
        </is>
      </c>
      <c r="D337" s="114" t="n">
        <v>0.01</v>
      </c>
    </row>
    <row r="338">
      <c r="A338" s="113" t="inlineStr">
        <is>
          <t>check-risk-premium (deep scan)</t>
        </is>
      </c>
      <c r="B338" s="114" t="n">
        <v>10</v>
      </c>
      <c r="C338" s="110" t="inlineStr">
        <is>
          <t>Premium scan</t>
        </is>
      </c>
      <c r="D338" s="114" t="n">
        <v>0.15</v>
      </c>
    </row>
    <row r="339">
      <c r="A339" s="113" t="inlineStr">
        <is>
          <t>holder deep dive</t>
        </is>
      </c>
      <c r="B339" s="114" t="n">
        <v>15</v>
      </c>
      <c r="C339" s="110" t="inlineStr">
        <is>
          <t>Premium analysis</t>
        </is>
      </c>
      <c r="D339" s="114" t="n">
        <v>0.25</v>
      </c>
    </row>
    <row r="340">
      <c r="A340" s="113" t="inlineStr">
        <is>
          <t>token intelligence</t>
        </is>
      </c>
      <c r="B340" s="114" t="n">
        <v>10</v>
      </c>
      <c r="C340" s="110" t="inlineStr">
        <is>
          <t>Intelligence</t>
        </is>
      </c>
      <c r="D340" s="114" t="n">
        <v>0.1</v>
      </c>
    </row>
    <row r="341">
      <c r="A341" s="113" t="inlineStr">
        <is>
          <t>blacklist check</t>
        </is>
      </c>
      <c r="B341" s="114" t="n">
        <v>5</v>
      </c>
      <c r="C341" s="110" t="inlineStr">
        <is>
          <t>Community</t>
        </is>
      </c>
      <c r="D341" s="114" t="n">
        <v>0.01</v>
      </c>
    </row>
    <row r="342">
      <c r="A342" s="113" t="inlineStr">
        <is>
          <t>social OSINT</t>
        </is>
      </c>
      <c r="B342" s="114" t="n">
        <v>100</v>
      </c>
      <c r="C342" s="110" t="inlineStr">
        <is>
          <t>Premium OSINT</t>
        </is>
      </c>
      <c r="D342" s="114" t="n">
        <v>2</v>
      </c>
    </row>
    <row r="343">
      <c r="A343" s="113" t="inlineStr">
        <is>
          <t>KOL shill detection</t>
        </is>
      </c>
      <c r="B343" s="114" t="n">
        <v>100</v>
      </c>
      <c r="C343" s="110" t="inlineStr">
        <is>
          <t>Premium OSINT</t>
        </is>
      </c>
      <c r="D343" s="114" t="n">
        <v>2</v>
      </c>
    </row>
    <row r="344">
      <c r="A344" s="113" t="inlineStr">
        <is>
          <t>coordinated buys</t>
        </is>
      </c>
      <c r="B344" s="114" t="n">
        <v>7.5</v>
      </c>
      <c r="C344" s="110" t="inlineStr">
        <is>
          <t>Intelligence</t>
        </is>
      </c>
      <c r="D344" s="114" t="n">
        <v>0.05</v>
      </c>
    </row>
    <row r="345">
      <c r="A345" s="113" t="inlineStr">
        <is>
          <t>scammer wallet check</t>
        </is>
      </c>
      <c r="B345" s="114" t="n">
        <v>5</v>
      </c>
      <c r="C345" s="110" t="inlineStr">
        <is>
          <t>Intelligence</t>
        </is>
      </c>
      <c r="D345" s="114" t="n">
        <v>0.01</v>
      </c>
    </row>
    <row r="346">
      <c r="A346" s="113" t="inlineStr">
        <is>
          <t>token watch (7-day webhook)</t>
        </is>
      </c>
      <c r="B346" s="114" t="n">
        <v>7.5</v>
      </c>
      <c r="C346" s="110" t="inlineStr">
        <is>
          <t>Monitoring</t>
        </is>
      </c>
      <c r="D346" s="114" t="n">
        <v>0.5</v>
      </c>
    </row>
    <row r="347">
      <c r="A347" s="113" t="inlineStr">
        <is>
          <t>marcus-quick (Sonnet 4 AI)</t>
        </is>
      </c>
      <c r="B347" s="114" t="n">
        <v>7.5</v>
      </c>
      <c r="C347" s="110" t="inlineStr">
        <is>
          <t>AI forensics</t>
        </is>
      </c>
      <c r="D347" s="114" t="n">
        <v>0.3</v>
      </c>
    </row>
    <row r="348">
      <c r="A348" s="113" t="inlineStr">
        <is>
          <t>marcus-forensics (full AI)</t>
        </is>
      </c>
      <c r="B348" s="114" t="n">
        <v>20</v>
      </c>
      <c r="C348" s="110" t="inlineStr">
        <is>
          <t>AI forensics</t>
        </is>
      </c>
      <c r="D348" s="114" t="n">
        <v>1.5</v>
      </c>
    </row>
    <row r="349">
      <c r="A349" s="113" t="inlineStr">
        <is>
          <t>marcus-ultra (Opus 4.6 extended)</t>
        </is>
      </c>
      <c r="B349" s="114" t="n">
        <v>35</v>
      </c>
      <c r="C349" s="110" t="inlineStr">
        <is>
          <t>AI forensics</t>
        </is>
      </c>
      <c r="D349" s="114" t="n">
        <v>5</v>
      </c>
    </row>
    <row r="350">
      <c r="A350" s="113" t="inlineStr">
        <is>
          <t>marcus-thread (X thread gen)</t>
        </is>
      </c>
      <c r="B350" s="114" t="n">
        <v>15</v>
      </c>
      <c r="C350" s="110" t="inlineStr">
        <is>
          <t>AI forensics</t>
        </is>
      </c>
      <c r="D350" s="114" t="n">
        <v>1</v>
      </c>
    </row>
    <row r="351">
      <c r="A351" s="113" t="inlineStr">
        <is>
          <t>scan-async (async job)</t>
        </is>
      </c>
      <c r="B351" s="114" t="n">
        <v>5</v>
      </c>
      <c r="C351" s="110" t="inlineStr">
        <is>
          <t>Core scan</t>
        </is>
      </c>
      <c r="D351" s="114" t="n">
        <v>0.02</v>
      </c>
    </row>
    <row r="353">
      <c r="A353" s="111" t="inlineStr">
        <is>
          <t>REVENUE SCENARIOS</t>
        </is>
      </c>
    </row>
    <row r="354">
      <c r="A354" s="112" t="inlineStr">
        <is>
          <t>Metric</t>
        </is>
      </c>
      <c r="B354" s="112" t="inlineStr">
        <is>
          <t>Conservative</t>
        </is>
      </c>
      <c r="C354" s="112" t="inlineStr">
        <is>
          <t>Moderate</t>
        </is>
      </c>
      <c r="D354" s="112" t="inlineStr">
        <is>
          <t>Aggressive</t>
        </is>
      </c>
    </row>
    <row r="355">
      <c r="A355" s="113" t="inlineStr">
        <is>
          <t>Agent integrations</t>
        </is>
      </c>
      <c r="B355" s="115" t="n">
        <v>5</v>
      </c>
      <c r="C355" s="115" t="n">
        <v>20</v>
      </c>
      <c r="D355" s="115" t="n">
        <v>100</v>
      </c>
    </row>
    <row r="356">
      <c r="A356" s="113" t="inlineStr">
        <is>
          <t>Avg calls/agent/day</t>
        </is>
      </c>
      <c r="B356" s="115" t="n">
        <v>10</v>
      </c>
      <c r="C356" s="115" t="n">
        <v>50</v>
      </c>
      <c r="D356" s="115" t="n">
        <v>200</v>
      </c>
    </row>
    <row r="357">
      <c r="A357" s="113" t="inlineStr">
        <is>
          <t>Avg price/call ($)</t>
        </is>
      </c>
      <c r="B357" s="116" t="n">
        <v>7.5</v>
      </c>
      <c r="C357" s="116" t="n">
        <v>7.5</v>
      </c>
      <c r="D357" s="116" t="n">
        <v>7.5</v>
      </c>
    </row>
    <row r="358">
      <c r="A358" s="112" t="inlineStr">
        <is>
          <t>Daily revenue</t>
        </is>
      </c>
      <c r="B358" s="117">
        <f>B355*B356*B357</f>
        <v/>
      </c>
      <c r="C358" s="117">
        <f>C355*C356*C357</f>
        <v/>
      </c>
      <c r="D358" s="117">
        <f>D355*D356*D357</f>
        <v/>
      </c>
    </row>
    <row r="359">
      <c r="A359" s="112" t="inlineStr">
        <is>
          <t>Monthly revenue (30d)</t>
        </is>
      </c>
      <c r="B359" s="117">
        <f>B358*30</f>
        <v/>
      </c>
      <c r="C359" s="117">
        <f>C358*30</f>
        <v/>
      </c>
      <c r="D359" s="117">
        <f>D358*30</f>
        <v/>
      </c>
    </row>
    <row r="360">
      <c r="A360" s="112" t="inlineStr">
        <is>
          <t>Annual revenue</t>
        </is>
      </c>
      <c r="B360" s="117">
        <f>B358*365</f>
        <v/>
      </c>
      <c r="C360" s="117">
        <f>C358*365</f>
        <v/>
      </c>
      <c r="D360" s="117">
        <f>D358*365</f>
        <v/>
      </c>
    </row>
    <row r="361">
      <c r="A361" s="113" t="inlineStr">
        <is>
          <t>Est. API cost (% of rev)</t>
        </is>
      </c>
      <c r="B361" s="118" t="n">
        <v>0.3</v>
      </c>
      <c r="C361" s="118" t="n">
        <v>0.3</v>
      </c>
      <c r="D361" s="118" t="n">
        <v>0.3</v>
      </c>
    </row>
    <row r="362">
      <c r="A362" s="113" t="inlineStr">
        <is>
          <t>Est. API cost ($)</t>
        </is>
      </c>
      <c r="B362" s="119">
        <f>B359*B361</f>
        <v/>
      </c>
      <c r="C362" s="119">
        <f>C359*C361</f>
        <v/>
      </c>
      <c r="D362" s="119">
        <f>D359*D361</f>
        <v/>
      </c>
    </row>
    <row r="363">
      <c r="A363" s="112" t="inlineStr">
        <is>
          <t>Net API profit (monthly)</t>
        </is>
      </c>
      <c r="B363" s="117">
        <f>B359-B362</f>
        <v/>
      </c>
      <c r="C363" s="117">
        <f>C359-C362</f>
        <v/>
      </c>
      <c r="D363" s="117">
        <f>D359-D362</f>
        <v/>
      </c>
    </row>
    <row r="365">
      <c r="A365" s="111" t="inlineStr">
        <is>
          <t>TOP-REVENUE ENDPOINTS</t>
        </is>
      </c>
    </row>
    <row r="366">
      <c r="A366" s="110" t="inlineStr">
        <is>
          <t>High-volume: check-risk ($5) and check-batch ($7.50) — expected to be 60-80% of call volume.</t>
        </is>
      </c>
    </row>
    <row r="367">
      <c r="A367" s="110" t="inlineStr">
        <is>
          <t>High-value: social OSINT ($100) and KOL shill detection ($100) — premium intelligence, lower volume but massive per-call margin.</t>
        </is>
      </c>
    </row>
    <row r="368">
      <c r="A368" s="110" t="inlineStr">
        <is>
          <t>AI forensics: marcus-ultra ($35) uses Opus 4.6 extended reasoning — highest cost-to-serve (~$5/call) but 85%+ margin.</t>
        </is>
      </c>
    </row>
    <row r="370">
      <c r="A370" s="110" t="inlineStr">
        <is>
          <t>This is pure margin revenue — agents self-serve via x402 protocol, no support cost.</t>
        </is>
      </c>
    </row>
    <row r="371">
      <c r="A371" s="110" t="inlineStr">
        <is>
          <t>x402 means zero payment processor fees (on-chain USDC). Revenue scales with AI agent ecosystem growth, not human user count.</t>
        </is>
      </c>
    </row>
    <row r="372">
      <c r="A372" s="110" t="inlineStr">
        <is>
          <t>Payment wallets — EVM (Base): 0xeac89E62a29494dC1ddCBaaEDA98E0BDAE3446e1  |  Solana: E3AcD4DosA9oDVzpssyd5mn1Ci6ressc1rp42hPEzsmU</t>
        </is>
      </c>
    </row>
    <row r="374">
      <c r="A374" s="109" t="inlineStr">
        <is>
          <t>📋  COMPLETE TIER &amp; PAYMENT MATRIX — All 8 Tiers × 3 Payment Methods</t>
        </is>
      </c>
      <c r="B374" s="93" t="n"/>
      <c r="C374" s="93" t="n"/>
      <c r="D374" s="93" t="n"/>
      <c r="E374" s="93" t="n"/>
      <c r="F374" s="93" t="n"/>
    </row>
    <row r="375">
      <c r="A375" s="110" t="inlineStr">
        <is>
          <t>The system accepts 3 parallel payment streams. User gets highest tier from ANY source. This is how all revenue enters.</t>
        </is>
      </c>
    </row>
    <row r="377">
      <c r="A377" s="112" t="inlineStr">
        <is>
          <t>Tier (Internal)</t>
        </is>
      </c>
      <c r="B377" s="112" t="inlineStr">
        <is>
          <t>Display Name</t>
        </is>
      </c>
      <c r="C377" s="112" t="inlineStr">
        <is>
          <t>CRM Hold Req.</t>
        </is>
      </c>
      <c r="D377" s="112" t="inlineStr">
        <is>
          <t>Stars/mo</t>
        </is>
      </c>
      <c r="E377" s="112" t="inlineStr">
        <is>
          <t>Stars/yr</t>
        </is>
      </c>
      <c r="F377" s="112" t="inlineStr">
        <is>
          <t>Features Level</t>
        </is>
      </c>
    </row>
    <row r="378">
      <c r="A378" s="113" t="inlineStr">
        <is>
          <t>Free</t>
        </is>
      </c>
      <c r="B378" s="113" t="inlineStr">
        <is>
          <t>🆓 Free</t>
        </is>
      </c>
      <c r="C378" s="120" t="inlineStr">
        <is>
          <t>0</t>
        </is>
      </c>
      <c r="D378" s="121" t="inlineStr">
        <is>
          <t>—</t>
        </is>
      </c>
      <c r="E378" s="121" t="inlineStr">
        <is>
          <t>—</t>
        </is>
      </c>
      <c r="F378" s="113" t="inlineStr">
        <is>
          <t>Basic</t>
        </is>
      </c>
    </row>
    <row r="379">
      <c r="A379" s="113" t="inlineStr">
        <is>
          <t>Basic</t>
        </is>
      </c>
      <c r="B379" s="113" t="inlineStr">
        <is>
          <t>⭐ Pro</t>
        </is>
      </c>
      <c r="C379" s="120" t="inlineStr">
        <is>
          <t>0</t>
        </is>
      </c>
      <c r="D379" s="122" t="n">
        <v>250</v>
      </c>
      <c r="E379" s="122" t="n">
        <v>2500</v>
      </c>
      <c r="F379" s="113" t="inlineStr">
        <is>
          <t>Pro</t>
        </is>
      </c>
    </row>
    <row r="380">
      <c r="A380" s="113" t="inlineStr">
        <is>
          <t>Holder</t>
        </is>
      </c>
      <c r="B380" s="113" t="inlineStr">
        <is>
          <t>⭐ Pro</t>
        </is>
      </c>
      <c r="C380" s="120" t="inlineStr">
        <is>
          <t>500K</t>
        </is>
      </c>
      <c r="D380" s="122" t="n">
        <v>250</v>
      </c>
      <c r="E380" s="122" t="n">
        <v>2500</v>
      </c>
      <c r="F380" s="113" t="inlineStr">
        <is>
          <t>Pro</t>
        </is>
      </c>
    </row>
    <row r="381">
      <c r="A381" s="113" t="inlineStr">
        <is>
          <t>Scout</t>
        </is>
      </c>
      <c r="B381" s="113" t="inlineStr">
        <is>
          <t>⭐ Pro</t>
        </is>
      </c>
      <c r="C381" s="120" t="inlineStr">
        <is>
          <t>1M</t>
        </is>
      </c>
      <c r="D381" s="122" t="n">
        <v>250</v>
      </c>
      <c r="E381" s="122" t="n">
        <v>2500</v>
      </c>
      <c r="F381" s="113" t="inlineStr">
        <is>
          <t>Pro</t>
        </is>
      </c>
    </row>
    <row r="382">
      <c r="A382" s="113" t="inlineStr">
        <is>
          <t>Whale</t>
        </is>
      </c>
      <c r="B382" s="113" t="inlineStr">
        <is>
          <t>⭐ Pro</t>
        </is>
      </c>
      <c r="C382" s="120" t="inlineStr">
        <is>
          <t>5M</t>
        </is>
      </c>
      <c r="D382" s="122" t="n">
        <v>250</v>
      </c>
      <c r="E382" s="122" t="n">
        <v>2500</v>
      </c>
      <c r="F382" s="113" t="inlineStr">
        <is>
          <t>Pro</t>
        </is>
      </c>
    </row>
    <row r="383">
      <c r="A383" s="113" t="inlineStr">
        <is>
          <t>Analyst</t>
        </is>
      </c>
      <c r="B383" s="113" t="inlineStr">
        <is>
          <t>🔷 Team</t>
        </is>
      </c>
      <c r="C383" s="120" t="inlineStr">
        <is>
          <t>15M</t>
        </is>
      </c>
      <c r="D383" s="122" t="n">
        <v>750</v>
      </c>
      <c r="E383" s="122" t="n">
        <v>7500</v>
      </c>
      <c r="F383" s="113" t="inlineStr">
        <is>
          <t>Team</t>
        </is>
      </c>
    </row>
    <row r="384">
      <c r="A384" s="113" t="inlineStr">
        <is>
          <t>Syndicate</t>
        </is>
      </c>
      <c r="B384" s="113" t="inlineStr">
        <is>
          <t>🔷 Team</t>
        </is>
      </c>
      <c r="C384" s="120" t="inlineStr">
        <is>
          <t>50M</t>
        </is>
      </c>
      <c r="D384" s="122" t="n">
        <v>750</v>
      </c>
      <c r="E384" s="122" t="n">
        <v>7500</v>
      </c>
      <c r="F384" s="113" t="inlineStr">
        <is>
          <t>Team</t>
        </is>
      </c>
    </row>
    <row r="385">
      <c r="A385" s="113" t="inlineStr">
        <is>
          <t>OG</t>
        </is>
      </c>
      <c r="B385" s="113" t="inlineStr">
        <is>
          <t>💎 OG</t>
        </is>
      </c>
      <c r="C385" s="120" t="inlineStr">
        <is>
          <t>100M</t>
        </is>
      </c>
      <c r="D385" s="121" t="inlineStr">
        <is>
          <t>—</t>
        </is>
      </c>
      <c r="E385" s="121" t="inlineStr">
        <is>
          <t>—</t>
        </is>
      </c>
      <c r="F385" s="113" t="inlineStr">
        <is>
          <t>OG (hold-only)</t>
        </is>
      </c>
    </row>
    <row r="387">
      <c r="A387" s="110" t="inlineStr">
        <is>
          <t>SOL/USDC pricing: Pro = 0.028 SOL / $5 USDC per month  |  Team = 0.083 SOL / $15 USDC per month  |  OG = hold-only, no subscription path</t>
        </is>
      </c>
    </row>
    <row r="389">
      <c r="A389" s="111" t="inlineStr">
        <is>
          <t>ANNUAL SUBSCRIPTION DISCOUNT</t>
        </is>
      </c>
    </row>
    <row r="390">
      <c r="A390" s="110" t="inlineStr">
        <is>
          <t>Pro annual: 2,500 stars ≈ $50/yr — save $10/yr (2 months free). Effective monthly: $4.17</t>
        </is>
      </c>
    </row>
    <row r="391">
      <c r="A391" s="110" t="inlineStr">
        <is>
          <t>Team annual: 7,500 stars ≈ $150/yr — save $30/yr (2 months free). Effective monthly: $12.50</t>
        </is>
      </c>
    </row>
    <row r="393">
      <c r="A393" s="111" t="inlineStr">
        <is>
          <t>REVENUE IMPACT OF ANNUAL SUBSCRIPTIONS</t>
        </is>
      </c>
    </row>
    <row r="394">
      <c r="A394" s="113" t="inlineStr">
        <is>
          <t>% paid users choosing annual</t>
        </is>
      </c>
      <c r="B394" s="118" t="n">
        <v>0.3</v>
      </c>
      <c r="C394" s="110" t="inlineStr">
        <is>
          <t>(assumption)</t>
        </is>
      </c>
    </row>
    <row r="395">
      <c r="A395" s="113" t="inlineStr">
        <is>
          <t>Total paid subscribers (assumption)</t>
        </is>
      </c>
      <c r="B395" s="115" t="n">
        <v>100</v>
      </c>
    </row>
    <row r="396">
      <c r="A396" s="113" t="inlineStr">
        <is>
          <t>% that are Pro (vs Team)</t>
        </is>
      </c>
      <c r="B396" s="118" t="n">
        <v>0.8</v>
      </c>
    </row>
    <row r="397">
      <c r="A397" s="112" t="inlineStr">
        <is>
          <t>Monthly baseline (all monthly)</t>
        </is>
      </c>
      <c r="B397" s="117">
        <f>B395*(B396*5+(1-B396)*15)</f>
        <v/>
      </c>
    </row>
    <row r="398">
      <c r="A398" s="112" t="inlineStr">
        <is>
          <t>Monthly revenue (with annual mix)</t>
        </is>
      </c>
      <c r="B398" s="117">
        <f>B397*(1-B394*(2/12))</f>
        <v/>
      </c>
    </row>
    <row r="399">
      <c r="A399" s="113" t="inlineStr">
        <is>
          <t>Revenue reduction from annual discount</t>
        </is>
      </c>
      <c r="B399" s="119">
        <f>B397-B398</f>
        <v/>
      </c>
    </row>
    <row r="400">
      <c r="A400" s="110" t="inlineStr">
        <is>
          <t>Tradeoff: lower ARPU but higher retention — annual users churn ~60% less than monthly</t>
        </is>
      </c>
    </row>
    <row r="402">
      <c r="A402" s="111" t="inlineStr">
        <is>
          <t>PAYMENT METHOD MIX</t>
        </is>
      </c>
    </row>
    <row r="403">
      <c r="A403" s="113" t="inlineStr">
        <is>
          <t>% via Telegram Stars</t>
        </is>
      </c>
      <c r="B403" s="118" t="n">
        <v>0.7</v>
      </c>
      <c r="C403" s="110" t="inlineStr">
        <is>
          <t>Apple/Google take ~30% of Stars purchases</t>
        </is>
      </c>
    </row>
    <row r="404">
      <c r="A404" s="113" t="inlineStr">
        <is>
          <t>% via SOL/USDC on-chain</t>
        </is>
      </c>
      <c r="B404" s="118" t="n">
        <v>0.2</v>
      </c>
      <c r="C404" s="110" t="inlineStr">
        <is>
          <t>Zero platform fees — pure margin</t>
        </is>
      </c>
    </row>
    <row r="405">
      <c r="A405" s="113" t="inlineStr">
        <is>
          <t>% via CRM hold (no recurring $)</t>
        </is>
      </c>
      <c r="B405" s="118" t="n">
        <v>0.1</v>
      </c>
      <c r="C405" s="110" t="inlineStr">
        <is>
          <t>Not recurring revenue — but drives token price via lockup</t>
        </is>
      </c>
    </row>
    <row r="407">
      <c r="A407" s="111" t="inlineStr">
        <is>
          <t>⚠️  DISCOUNT MODEL: EXCEL vs CODE DISCREPANCY</t>
        </is>
      </c>
    </row>
    <row r="408">
      <c r="A408" s="123" t="inlineStr">
        <is>
          <t>Excel models graduated discounts: Bronze 10% → Silver 20% → Gold 35% → Diamond 50%</t>
        </is>
      </c>
    </row>
    <row r="409">
      <c r="A409" s="123" t="inlineStr">
        <is>
          <t>Current code (Feb 2026): FLAT 30% discount for ANY holder with 500K+ CRM</t>
        </is>
      </c>
    </row>
    <row r="410">
      <c r="A410" s="123" t="inlineStr">
        <is>
          <t>The Excel graduated model is the TARGET. Code needs updating to match the planned tier structure.</t>
        </is>
      </c>
    </row>
    <row r="411">
      <c r="A411" s="110" t="inlineStr">
        <is>
          <t>See config.py get_crm_discount_pct() — returns flat 30 for balance &gt;= 500K. Planned: graduated per Section 1.</t>
        </is>
      </c>
    </row>
    <row r="413">
      <c r="A413" s="109" t="inlineStr">
        <is>
          <t>🔗  REFERRAL PROGRAM &amp; GROWTH MECHANICS</t>
        </is>
      </c>
      <c r="B413" s="93" t="n"/>
      <c r="C413" s="93" t="n"/>
      <c r="D413" s="93" t="n"/>
      <c r="E413" s="93" t="n"/>
      <c r="F413" s="93" t="n"/>
    </row>
    <row r="414">
      <c r="A414" s="110" t="inlineStr">
        <is>
          <t>Viral growth loop: existing users recruit new users via referral codes. Rewards are deferred until referee proves engagement.</t>
        </is>
      </c>
    </row>
    <row r="416">
      <c r="A416" s="112" t="inlineStr">
        <is>
          <t>Actor</t>
        </is>
      </c>
      <c r="B416" s="112" t="inlineStr">
        <is>
          <t>Reward</t>
        </is>
      </c>
      <c r="C416" s="112" t="inlineStr">
        <is>
          <t>Condition</t>
        </is>
      </c>
      <c r="D416" s="112" t="inlineStr">
        <is>
          <t>Revenue Impact</t>
        </is>
      </c>
    </row>
    <row r="417">
      <c r="A417" s="113" t="inlineStr">
        <is>
          <t>Referrer</t>
        </is>
      </c>
      <c r="B417" s="113" t="inlineStr">
        <is>
          <t>+3 Pro days per referral (max 15d)</t>
        </is>
      </c>
      <c r="C417" s="113" t="inlineStr">
        <is>
          <t>Referee completes 3 scans</t>
        </is>
      </c>
      <c r="D417" s="110" t="inlineStr">
        <is>
          <t>Deferred subscription revenue</t>
        </is>
      </c>
    </row>
    <row r="418">
      <c r="A418" s="113" t="inlineStr">
        <is>
          <t>Referrer</t>
        </is>
      </c>
      <c r="B418" s="113" t="inlineStr">
        <is>
          <t>+2 bonus scans/day per active referral</t>
        </is>
      </c>
      <c r="C418" s="113" t="inlineStr">
        <is>
          <t>Referee has 10+ total scans</t>
        </is>
      </c>
      <c r="D418" s="110" t="inlineStr">
        <is>
          <t>Minor API cost (~$0.04/day)</t>
        </is>
      </c>
    </row>
    <row r="419">
      <c r="A419" s="113" t="inlineStr">
        <is>
          <t>Referee</t>
        </is>
      </c>
      <c r="B419" s="113" t="inlineStr">
        <is>
          <t>3 free Pro days</t>
        </is>
      </c>
      <c r="C419" s="113" t="inlineStr">
        <is>
          <t>On first scan (not signup)</t>
        </is>
      </c>
      <c r="D419" s="110" t="inlineStr">
        <is>
          <t>Try-before-buy funnel</t>
        </is>
      </c>
    </row>
    <row r="421">
      <c r="A421" s="111" t="inlineStr">
        <is>
          <t>GROWTH FUNNEL MODEL</t>
        </is>
      </c>
    </row>
    <row r="422">
      <c r="A422" s="113" t="inlineStr">
        <is>
          <t>New referrals / month</t>
        </is>
      </c>
      <c r="B422" s="115" t="n">
        <v>50</v>
      </c>
    </row>
    <row r="423">
      <c r="A423" s="113" t="inlineStr">
        <is>
          <t>% referees converting to paid (after trial)</t>
        </is>
      </c>
      <c r="B423" s="118" t="n">
        <v>0.15</v>
      </c>
    </row>
    <row r="424">
      <c r="A424" s="112" t="inlineStr">
        <is>
          <t>New paid users from referrals / month</t>
        </is>
      </c>
      <c r="B424" s="124">
        <f>B422*B423</f>
        <v/>
      </c>
    </row>
    <row r="425">
      <c r="A425" s="113" t="inlineStr">
        <is>
          <t>Monthly ARPU (blended Pro/Team)</t>
        </is>
      </c>
      <c r="B425" s="116" t="n">
        <v>7</v>
      </c>
    </row>
    <row r="426">
      <c r="A426" s="113" t="inlineStr">
        <is>
          <t>Avg subscriber lifetime (months)</t>
        </is>
      </c>
      <c r="B426" s="115" t="n">
        <v>6</v>
      </c>
    </row>
    <row r="427">
      <c r="A427" s="112" t="inlineStr">
        <is>
          <t>LTV of referred user</t>
        </is>
      </c>
      <c r="B427" s="117">
        <f>B425*B426</f>
        <v/>
      </c>
    </row>
    <row r="428">
      <c r="A428" s="113" t="inlineStr">
        <is>
          <t>CAC equivalent (3 Pro days cost)</t>
        </is>
      </c>
      <c r="B428" s="125">
        <f>3/30*5</f>
        <v/>
      </c>
      <c r="C428" s="110" t="inlineStr">
        <is>
          <t>3 days of Pro subscription value</t>
        </is>
      </c>
    </row>
    <row r="429">
      <c r="A429" s="112" t="inlineStr">
        <is>
          <t>LTV:CAC ratio</t>
        </is>
      </c>
      <c r="B429" s="124">
        <f>B427/B428</f>
        <v/>
      </c>
      <c r="C429" s="110" t="inlineStr">
        <is>
          <t>Target: &gt;10:1</t>
        </is>
      </c>
    </row>
    <row r="431">
      <c r="A431" s="111" t="inlineStr">
        <is>
          <t>ANTI-GAMING CONTROLS</t>
        </is>
      </c>
    </row>
    <row r="432">
      <c r="A432" s="110" t="inlineStr">
        <is>
          <t>Max 3 referrals accepted per referrer per day — prevents bot-farming referral codes.</t>
        </is>
      </c>
    </row>
    <row r="433">
      <c r="A433" s="110" t="inlineStr">
        <is>
          <t>5-minute cooldown between referral applications for same referrer.</t>
        </is>
      </c>
    </row>
    <row r="434">
      <c r="A434" s="110" t="inlineStr">
        <is>
          <t>Referee must complete 3 scans before referrer gets Pro days — prevents burner account abuse.</t>
        </is>
      </c>
    </row>
    <row r="435">
      <c r="A435" s="110" t="inlineStr">
        <is>
          <t>Each referee can only use 1 referral code ever. Referrer max Pro days capped at 15.</t>
        </is>
      </c>
    </row>
    <row r="437">
      <c r="A437" s="109" t="inlineStr">
        <is>
          <t>💸  REFUND POLICY &amp; REVENUE LEAKAGE</t>
        </is>
      </c>
      <c r="B437" s="93" t="n"/>
      <c r="C437" s="93" t="n"/>
      <c r="D437" s="93" t="n"/>
      <c r="E437" s="93" t="n"/>
      <c r="F437" s="93" t="n"/>
    </row>
    <row r="438">
      <c r="A438" s="110" t="inlineStr">
        <is>
          <t>Telegram enforces a 21-day max refund window. Our policy layers usage-based rules on top. Max 1 refund per user per 180 days.</t>
        </is>
      </c>
    </row>
    <row r="440">
      <c r="A440" s="112" t="inlineStr">
        <is>
          <t>Window</t>
        </is>
      </c>
      <c r="B440" s="112" t="inlineStr">
        <is>
          <t>Usage Level</t>
        </is>
      </c>
      <c r="C440" s="112" t="inlineStr">
        <is>
          <t>Decision</t>
        </is>
      </c>
      <c r="D440" s="112" t="inlineStr">
        <is>
          <t>Revenue Risk</t>
        </is>
      </c>
    </row>
    <row r="441">
      <c r="A441" s="113" t="inlineStr">
        <is>
          <t>&lt;24 hours</t>
        </is>
      </c>
      <c r="B441" s="113" t="inlineStr">
        <is>
          <t>&lt;10% of features used</t>
        </is>
      </c>
      <c r="C441" s="113" t="inlineStr">
        <is>
          <t>Auto-approve</t>
        </is>
      </c>
      <c r="D441" s="126" t="inlineStr">
        <is>
          <t>Low</t>
        </is>
      </c>
    </row>
    <row r="442">
      <c r="A442" s="113" t="inlineStr">
        <is>
          <t>&lt;7 days</t>
        </is>
      </c>
      <c r="B442" s="113" t="inlineStr">
        <is>
          <t>&lt;20% of features used</t>
        </is>
      </c>
      <c r="C442" s="113" t="inlineStr">
        <is>
          <t>Auto-approve</t>
        </is>
      </c>
      <c r="D442" s="126" t="inlineStr">
        <is>
          <t>Low</t>
        </is>
      </c>
    </row>
    <row r="443">
      <c r="A443" s="113" t="inlineStr">
        <is>
          <t>&lt;7 days</t>
        </is>
      </c>
      <c r="B443" s="113" t="inlineStr">
        <is>
          <t>&lt;50% of features used</t>
        </is>
      </c>
      <c r="C443" s="113" t="inlineStr">
        <is>
          <t>Partial refund (50%)</t>
        </is>
      </c>
      <c r="D443" s="127" t="inlineStr">
        <is>
          <t>Medium</t>
        </is>
      </c>
    </row>
    <row r="444">
      <c r="A444" s="113" t="inlineStr">
        <is>
          <t>7-21 days</t>
        </is>
      </c>
      <c r="B444" s="113" t="inlineStr">
        <is>
          <t>Any usage</t>
        </is>
      </c>
      <c r="C444" s="113" t="inlineStr">
        <is>
          <t>Admin discretion</t>
        </is>
      </c>
      <c r="D444" s="126" t="inlineStr">
        <is>
          <t>Low</t>
        </is>
      </c>
    </row>
    <row r="445">
      <c r="A445" s="113" t="inlineStr">
        <is>
          <t>&gt;21 days</t>
        </is>
      </c>
      <c r="B445" s="113" t="inlineStr">
        <is>
          <t>Any usage</t>
        </is>
      </c>
      <c r="C445" s="113" t="inlineStr">
        <is>
          <t>Reject (Telegram limit)</t>
        </is>
      </c>
      <c r="D445" s="126" t="inlineStr">
        <is>
          <t>None</t>
        </is>
      </c>
    </row>
    <row r="447">
      <c r="A447" s="111" t="inlineStr">
        <is>
          <t>REVENUE LEAKAGE MODEL</t>
        </is>
      </c>
    </row>
    <row r="448">
      <c r="A448" s="113" t="inlineStr">
        <is>
          <t>Estimated refund rate</t>
        </is>
      </c>
      <c r="B448" s="128" t="n">
        <v>0.03</v>
      </c>
      <c r="C448" s="110" t="inlineStr">
        <is>
          <t>Industry avg for digital subscriptions: 2-5%</t>
        </is>
      </c>
    </row>
    <row r="449">
      <c r="A449" s="113" t="inlineStr">
        <is>
          <t>Monthly subscription revenue (from above)</t>
        </is>
      </c>
      <c r="B449" s="129" t="n">
        <v>700</v>
      </c>
      <c r="C449" s="110" t="inlineStr">
        <is>
          <t>Use actual MRR when available</t>
        </is>
      </c>
    </row>
    <row r="450">
      <c r="A450" s="112" t="inlineStr">
        <is>
          <t>Monthly revenue at risk</t>
        </is>
      </c>
      <c r="B450" s="117">
        <f>B449*B448</f>
        <v/>
      </c>
    </row>
    <row r="451">
      <c r="A451" s="110" t="inlineStr">
        <is>
          <t>Mitigant: 1 refund per 180 days limit prevents serial abuse. Usage-based policy means heavy users can't refund.</t>
        </is>
      </c>
    </row>
    <row r="452">
      <c r="A452" s="110" t="inlineStr">
        <is>
          <t>x402 Agent API revenue has ZERO refund risk — on-chain USDC payments are final.</t>
        </is>
      </c>
    </row>
    <row r="455">
      <c r="A455" s="130" t="inlineStr">
        <is>
          <t>📐 SECTION 13: STRATEGIC PRICING REDESIGN &amp; REVENUE IMPACT MODEL</t>
        </is>
      </c>
    </row>
    <row r="456">
      <c r="A456" s="132" t="inlineStr">
        <is>
          <t>Proposed pricing restructure for review. All blue/yellow cells are editable assumptions. Formulas auto-recalculate. This does NOT change bot code — code changes are a separate task after approval.</t>
        </is>
      </c>
    </row>
    <row r="458">
      <c r="A458" s="133" t="inlineStr">
        <is>
          <t>13A: CURRENT vs PROPOSED PRICING — SIDE-BY-SIDE COMPARISON</t>
        </is>
      </c>
    </row>
    <row r="459">
      <c r="A459" s="134" t="inlineStr">
        <is>
          <t>Tier</t>
        </is>
      </c>
      <c r="B459" s="134" t="inlineStr">
        <is>
          <t>Current Price</t>
        </is>
      </c>
      <c r="C459" s="134" t="inlineStr">
        <is>
          <t>Current Scans</t>
        </is>
      </c>
      <c r="D459" s="134" t="inlineStr">
        <is>
          <t>Proposed Price</t>
        </is>
      </c>
      <c r="E459" s="134" t="inlineStr">
        <is>
          <t>Proposed Scans</t>
        </is>
      </c>
      <c r="F459" s="134" t="inlineStr">
        <is>
          <t>Key Change</t>
        </is>
      </c>
    </row>
    <row r="460">
      <c r="A460" s="135" t="inlineStr">
        <is>
          <t>Free</t>
        </is>
      </c>
      <c r="B460" s="136" t="inlineStr">
        <is>
          <t>$0</t>
        </is>
      </c>
      <c r="C460" s="136" t="inlineStr">
        <is>
          <t>3/day (21/wk)</t>
        </is>
      </c>
      <c r="D460" s="137" t="inlineStr">
        <is>
          <t>$0</t>
        </is>
      </c>
      <c r="E460" s="136" t="inlineStr">
        <is>
          <t>3/week (Mon reset)</t>
        </is>
      </c>
      <c r="F460" s="138" t="inlineStr">
        <is>
          <t>↓ 86% fewer free scans</t>
        </is>
      </c>
    </row>
    <row r="461">
      <c r="A461" s="135" t="inlineStr">
        <is>
          <t>Pro</t>
        </is>
      </c>
      <c r="B461" s="136" t="inlineStr">
        <is>
          <t>$5/mo</t>
        </is>
      </c>
      <c r="C461" s="136" t="inlineStr">
        <is>
          <t>25/day</t>
        </is>
      </c>
      <c r="D461" s="137" t="inlineStr">
        <is>
          <t>$20/mo</t>
        </is>
      </c>
      <c r="E461" s="136" t="inlineStr">
        <is>
          <t>15/day</t>
        </is>
      </c>
      <c r="F461" s="138" t="inlineStr">
        <is>
          <t>↑ 4× price, Marcus unlock</t>
        </is>
      </c>
    </row>
    <row r="462">
      <c r="A462" s="135" t="inlineStr">
        <is>
          <t>Trader (NEW)</t>
        </is>
      </c>
      <c r="B462" s="136" t="inlineStr">
        <is>
          <t>—</t>
        </is>
      </c>
      <c r="C462" s="136" t="inlineStr">
        <is>
          <t>—</t>
        </is>
      </c>
      <c r="D462" s="137" t="inlineStr">
        <is>
          <t>$42/mo</t>
        </is>
      </c>
      <c r="E462" s="136" t="inlineStr">
        <is>
          <t>30/day</t>
        </is>
      </c>
      <c r="F462" s="138" t="inlineStr">
        <is>
          <t>NEW tier for power traders</t>
        </is>
      </c>
    </row>
    <row r="463">
      <c r="A463" s="135" t="inlineStr">
        <is>
          <t>Team</t>
        </is>
      </c>
      <c r="B463" s="136" t="inlineStr">
        <is>
          <t>$15/mo</t>
        </is>
      </c>
      <c r="C463" s="136" t="inlineStr">
        <is>
          <t>Unlimited</t>
        </is>
      </c>
      <c r="D463" s="137" t="inlineStr">
        <is>
          <t>$99/mo</t>
        </is>
      </c>
      <c r="E463" s="136" t="inlineStr">
        <is>
          <t>Unlimited</t>
        </is>
      </c>
      <c r="F463" s="138" t="inlineStr">
        <is>
          <t>↑ 6.6× price, API access</t>
        </is>
      </c>
    </row>
    <row r="464">
      <c r="A464" s="135" t="inlineStr">
        <is>
          <t>OG</t>
        </is>
      </c>
      <c r="B464" s="136" t="inlineStr">
        <is>
          <t>Hold-only</t>
        </is>
      </c>
      <c r="C464" s="136" t="inlineStr">
        <is>
          <t>Unlimited</t>
        </is>
      </c>
      <c r="D464" s="137" t="inlineStr">
        <is>
          <t>REMOVED</t>
        </is>
      </c>
      <c r="E464" s="136" t="inlineStr">
        <is>
          <t>—</t>
        </is>
      </c>
      <c r="F464" s="138" t="inlineStr">
        <is>
          <t>Admin grants manually</t>
        </is>
      </c>
    </row>
    <row r="466">
      <c r="A466" s="133" t="inlineStr">
        <is>
          <t>PROPOSED FEATURE LIMITS BY TIER</t>
        </is>
      </c>
    </row>
    <row r="467">
      <c r="A467" s="134" t="inlineStr">
        <is>
          <t>Feature</t>
        </is>
      </c>
      <c r="B467" s="134" t="inlineStr">
        <is>
          <t>Free</t>
        </is>
      </c>
      <c r="C467" s="134" t="inlineStr">
        <is>
          <t>Pro $20</t>
        </is>
      </c>
      <c r="D467" s="134" t="inlineStr">
        <is>
          <t>Trader $42</t>
        </is>
      </c>
      <c r="E467" s="134" t="inlineStr">
        <is>
          <t>Team $99</t>
        </is>
      </c>
      <c r="F467" s="134" t="inlineStr"/>
    </row>
    <row r="468">
      <c r="A468" s="136" t="inlineStr">
        <is>
          <t>Scans</t>
        </is>
      </c>
      <c r="B468" s="136" t="inlineStr">
        <is>
          <t>3/week (Mon)</t>
        </is>
      </c>
      <c r="C468" s="136" t="inlineStr">
        <is>
          <t>15/day</t>
        </is>
      </c>
      <c r="D468" s="136" t="inlineStr">
        <is>
          <t>30/day</t>
        </is>
      </c>
      <c r="E468" s="136" t="inlineStr">
        <is>
          <t>Unlimited</t>
        </is>
      </c>
      <c r="F468" s="136" t="inlineStr"/>
    </row>
    <row r="469">
      <c r="A469" s="136" t="inlineStr">
        <is>
          <t>Marcus AI queries</t>
        </is>
      </c>
      <c r="B469" s="136" t="inlineStr">
        <is>
          <t>0</t>
        </is>
      </c>
      <c r="C469" s="136" t="inlineStr">
        <is>
          <t>5/day</t>
        </is>
      </c>
      <c r="D469" s="136" t="inlineStr">
        <is>
          <t>15/day</t>
        </is>
      </c>
      <c r="E469" s="136" t="inlineStr">
        <is>
          <t>50/day soft cap</t>
        </is>
      </c>
      <c r="F469" s="136" t="inlineStr"/>
    </row>
    <row r="470">
      <c r="A470" s="136" t="inlineStr">
        <is>
          <t>Marcus Ultra (Opus)</t>
        </is>
      </c>
      <c r="B470" s="136" t="inlineStr">
        <is>
          <t>No</t>
        </is>
      </c>
      <c r="C470" s="136" t="inlineStr">
        <is>
          <t>No</t>
        </is>
      </c>
      <c r="D470" s="136" t="inlineStr">
        <is>
          <t>3/month</t>
        </is>
      </c>
      <c r="E470" s="136" t="inlineStr">
        <is>
          <t>8/month</t>
        </is>
      </c>
      <c r="F470" s="136" t="inlineStr"/>
    </row>
    <row r="471">
      <c r="A471" s="136" t="inlineStr">
        <is>
          <t>Cooldown</t>
        </is>
      </c>
      <c r="B471" s="136" t="inlineStr">
        <is>
          <t>300s</t>
        </is>
      </c>
      <c r="C471" s="136" t="inlineStr">
        <is>
          <t>30s</t>
        </is>
      </c>
      <c r="D471" s="136" t="inlineStr">
        <is>
          <t>10s</t>
        </is>
      </c>
      <c r="E471" s="136" t="inlineStr">
        <is>
          <t>0s</t>
        </is>
      </c>
      <c r="F471" s="136" t="inlineStr"/>
    </row>
    <row r="472">
      <c r="A472" s="136" t="inlineStr">
        <is>
          <t>History retention</t>
        </is>
      </c>
      <c r="B472" s="136" t="inlineStr">
        <is>
          <t>1 day</t>
        </is>
      </c>
      <c r="C472" s="136" t="inlineStr">
        <is>
          <t>14 days</t>
        </is>
      </c>
      <c r="D472" s="136" t="inlineStr">
        <is>
          <t>90 days</t>
        </is>
      </c>
      <c r="E472" s="136" t="inlineStr">
        <is>
          <t>Unlimited</t>
        </is>
      </c>
      <c r="F472" s="136" t="inlineStr"/>
    </row>
    <row r="473">
      <c r="A473" s="136" t="inlineStr">
        <is>
          <t>Portfolio positions</t>
        </is>
      </c>
      <c r="B473" s="136" t="inlineStr">
        <is>
          <t>1</t>
        </is>
      </c>
      <c r="C473" s="136" t="inlineStr">
        <is>
          <t>10</t>
        </is>
      </c>
      <c r="D473" s="136" t="inlineStr">
        <is>
          <t>30</t>
        </is>
      </c>
      <c r="E473" s="136" t="inlineStr">
        <is>
          <t>Unlimited</t>
        </is>
      </c>
      <c r="F473" s="136" t="inlineStr"/>
    </row>
    <row r="474">
      <c r="A474" s="136" t="inlineStr">
        <is>
          <t>Tracked wallets</t>
        </is>
      </c>
      <c r="B474" s="136" t="inlineStr">
        <is>
          <t>0</t>
        </is>
      </c>
      <c r="C474" s="136" t="inlineStr">
        <is>
          <t>3</t>
        </is>
      </c>
      <c r="D474" s="136" t="inlineStr">
        <is>
          <t>10</t>
        </is>
      </c>
      <c r="E474" s="136" t="inlineStr">
        <is>
          <t>50</t>
        </is>
      </c>
      <c r="F474" s="136" t="inlineStr"/>
    </row>
    <row r="475">
      <c r="A475" s="136" t="inlineStr">
        <is>
          <t>Price alerts</t>
        </is>
      </c>
      <c r="B475" s="136" t="inlineStr">
        <is>
          <t>0</t>
        </is>
      </c>
      <c r="C475" s="136" t="inlineStr">
        <is>
          <t>5</t>
        </is>
      </c>
      <c r="D475" s="136" t="inlineStr">
        <is>
          <t>15</t>
        </is>
      </c>
      <c r="E475" s="136" t="inlineStr">
        <is>
          <t>Unlimited</t>
        </is>
      </c>
      <c r="F475" s="136" t="inlineStr"/>
    </row>
    <row r="476">
      <c r="A476" s="136" t="inlineStr">
        <is>
          <t>Win cards/day</t>
        </is>
      </c>
      <c r="B476" s="136" t="inlineStr">
        <is>
          <t>0</t>
        </is>
      </c>
      <c r="C476" s="136" t="inlineStr">
        <is>
          <t>2</t>
        </is>
      </c>
      <c r="D476" s="136" t="inlineStr">
        <is>
          <t>10</t>
        </is>
      </c>
      <c r="E476" s="136" t="inlineStr">
        <is>
          <t>Unlimited</t>
        </is>
      </c>
      <c r="F476" s="136" t="inlineStr"/>
    </row>
    <row r="477">
      <c r="A477" s="136" t="inlineStr">
        <is>
          <t>Comparison scans</t>
        </is>
      </c>
      <c r="B477" s="136" t="inlineStr">
        <is>
          <t>0</t>
        </is>
      </c>
      <c r="C477" s="136" t="inlineStr">
        <is>
          <t>1/day</t>
        </is>
      </c>
      <c r="D477" s="136" t="inlineStr">
        <is>
          <t>5/day</t>
        </is>
      </c>
      <c r="E477" s="136" t="inlineStr">
        <is>
          <t>Unlimited</t>
        </is>
      </c>
      <c r="F477" s="136" t="inlineStr"/>
    </row>
    <row r="478">
      <c r="A478" s="136" t="inlineStr">
        <is>
          <t>Deep analysis</t>
        </is>
      </c>
      <c r="B478" s="136" t="inlineStr">
        <is>
          <t>None</t>
        </is>
      </c>
      <c r="C478" s="136" t="inlineStr">
        <is>
          <t>Basic</t>
        </is>
      </c>
      <c r="D478" s="136" t="inlineStr">
        <is>
          <t>Full</t>
        </is>
      </c>
      <c r="E478" s="136" t="inlineStr">
        <is>
          <t>Full + API</t>
        </is>
      </c>
      <c r="F478" s="136" t="inlineStr"/>
    </row>
    <row r="479">
      <c r="A479" s="136" t="inlineStr">
        <is>
          <t>API access</t>
        </is>
      </c>
      <c r="B479" s="136" t="inlineStr">
        <is>
          <t>No</t>
        </is>
      </c>
      <c r="C479" s="136" t="inlineStr">
        <is>
          <t>No</t>
        </is>
      </c>
      <c r="D479" s="136" t="inlineStr">
        <is>
          <t>No</t>
        </is>
      </c>
      <c r="E479" s="136" t="inlineStr">
        <is>
          <t>Yes</t>
        </is>
      </c>
      <c r="F479" s="136" t="inlineStr"/>
    </row>
    <row r="480">
      <c r="A480" s="136" t="inlineStr">
        <is>
          <t>Priority support</t>
        </is>
      </c>
      <c r="B480" s="136" t="inlineStr">
        <is>
          <t>No</t>
        </is>
      </c>
      <c r="C480" s="136" t="inlineStr">
        <is>
          <t>No</t>
        </is>
      </c>
      <c r="D480" s="136" t="inlineStr">
        <is>
          <t>No</t>
        </is>
      </c>
      <c r="E480" s="136" t="inlineStr">
        <is>
          <t>Yes</t>
        </is>
      </c>
      <c r="F480" s="136" t="inlineStr"/>
    </row>
    <row r="482">
      <c r="A482" s="132" t="inlineStr">
        <is>
          <t>Free tier: 0 Marcus queries = maximum upgrade pressure. After every scan: "Marcus AI would flag additional risks — upgrade to unlock."</t>
        </is>
      </c>
    </row>
    <row r="483">
      <c r="A483" s="132" t="inlineStr">
        <is>
          <t>OG tier eliminated from product. Owner grants Team-equivalent access manually for select VIPs. No public tier, no code path.</t>
        </is>
      </c>
    </row>
    <row r="485">
      <c r="A485" s="133" t="inlineStr">
        <is>
          <t>13B: INSURANCE VALUE FRAMEWORK — SCAN COST vs POSITION SIZE</t>
        </is>
      </c>
    </row>
    <row r="486">
      <c r="A486" s="132" t="inlineStr">
        <is>
          <t>Each scan is insurance against rug pulls. Cost-to-protection ratio demonstrates extreme value at any position size.</t>
        </is>
      </c>
    </row>
    <row r="488">
      <c r="A488" s="139" t="inlineStr">
        <is>
          <t>Effective cost per scan (Pro $20 ÷ ~300 scans/mo)</t>
        </is>
      </c>
      <c r="B488" s="140" t="n">
        <v>0.07000000000000001</v>
      </c>
    </row>
    <row r="489">
      <c r="A489" s="139" t="inlineStr">
        <is>
          <t>Average rug pull loss (% of position)</t>
        </is>
      </c>
      <c r="B489" s="141" t="n">
        <v>1</v>
      </c>
    </row>
    <row r="490">
      <c r="A490" s="139" t="inlineStr">
        <is>
          <t>Annual Pro subscription cost</t>
        </is>
      </c>
      <c r="B490" s="142" t="n">
        <v>240</v>
      </c>
    </row>
    <row r="492">
      <c r="A492" s="134" t="inlineStr">
        <is>
          <t>Position Size</t>
        </is>
      </c>
      <c r="B492" s="134" t="inlineStr">
        <is>
          <t>Scan Cost</t>
        </is>
      </c>
      <c r="C492" s="134" t="inlineStr">
        <is>
          <t>Insurance %</t>
        </is>
      </c>
      <c r="D492" s="134" t="inlineStr">
        <is>
          <t>Loss if Rugged</t>
        </is>
      </c>
      <c r="E492" s="134" t="inlineStr">
        <is>
          <t>Years of Pro Paid</t>
        </is>
      </c>
      <c r="F492" s="134" t="inlineStr">
        <is>
          <t>ROI per Save</t>
        </is>
      </c>
    </row>
    <row r="493">
      <c r="A493" s="143" t="n">
        <v>100</v>
      </c>
      <c r="B493" s="144">
        <f>$B$488</f>
        <v/>
      </c>
      <c r="C493" s="145">
        <f>$B$488/A493</f>
        <v/>
      </c>
      <c r="D493" s="143">
        <f>A493*$B$489</f>
        <v/>
      </c>
      <c r="E493" s="146">
        <f>D493/$B$490</f>
        <v/>
      </c>
      <c r="F493" s="147">
        <f>D493/$B$490</f>
        <v/>
      </c>
    </row>
    <row r="494">
      <c r="A494" s="143" t="n">
        <v>500</v>
      </c>
      <c r="B494" s="144">
        <f>$B$488</f>
        <v/>
      </c>
      <c r="C494" s="145">
        <f>$B$488/A494</f>
        <v/>
      </c>
      <c r="D494" s="143">
        <f>A494*$B$489</f>
        <v/>
      </c>
      <c r="E494" s="146">
        <f>D494/$B$490</f>
        <v/>
      </c>
      <c r="F494" s="147">
        <f>D494/$B$490</f>
        <v/>
      </c>
    </row>
    <row r="495">
      <c r="A495" s="143" t="n">
        <v>1000</v>
      </c>
      <c r="B495" s="144">
        <f>$B$488</f>
        <v/>
      </c>
      <c r="C495" s="145">
        <f>$B$488/A495</f>
        <v/>
      </c>
      <c r="D495" s="143">
        <f>A495*$B$489</f>
        <v/>
      </c>
      <c r="E495" s="146">
        <f>D495/$B$490</f>
        <v/>
      </c>
      <c r="F495" s="147">
        <f>D495/$B$490</f>
        <v/>
      </c>
    </row>
    <row r="496">
      <c r="A496" s="143" t="n">
        <v>5000</v>
      </c>
      <c r="B496" s="144">
        <f>$B$488</f>
        <v/>
      </c>
      <c r="C496" s="145">
        <f>$B$488/A496</f>
        <v/>
      </c>
      <c r="D496" s="143">
        <f>A496*$B$489</f>
        <v/>
      </c>
      <c r="E496" s="146">
        <f>D496/$B$490</f>
        <v/>
      </c>
      <c r="F496" s="147">
        <f>D496/$B$490</f>
        <v/>
      </c>
    </row>
    <row r="497">
      <c r="A497" s="143" t="n">
        <v>10000</v>
      </c>
      <c r="B497" s="144">
        <f>$B$488</f>
        <v/>
      </c>
      <c r="C497" s="145">
        <f>$B$488/A497</f>
        <v/>
      </c>
      <c r="D497" s="143">
        <f>A497*$B$489</f>
        <v/>
      </c>
      <c r="E497" s="146">
        <f>D497/$B$490</f>
        <v/>
      </c>
      <c r="F497" s="147">
        <f>D497/$B$490</f>
        <v/>
      </c>
    </row>
    <row r="498">
      <c r="A498" s="143" t="n">
        <v>50000</v>
      </c>
      <c r="B498" s="144">
        <f>$B$488</f>
        <v/>
      </c>
      <c r="C498" s="145">
        <f>$B$488/A498</f>
        <v/>
      </c>
      <c r="D498" s="143">
        <f>A498*$B$489</f>
        <v/>
      </c>
      <c r="E498" s="146">
        <f>D498/$B$490</f>
        <v/>
      </c>
      <c r="F498" s="147">
        <f>D498/$B$490</f>
        <v/>
      </c>
    </row>
    <row r="500">
      <c r="A500" s="132" t="inlineStr">
        <is>
          <t>One prevented rug pull on a $1,000 position pays for 4+ years of Pro. At $10K+, the ROI is extraordinary. This is insurance, not a subscription.</t>
        </is>
      </c>
    </row>
    <row r="502">
      <c r="A502" s="133" t="inlineStr">
        <is>
          <t>13C: REVENUE IMPACT MODEL — CURRENT vs PROPOSED (3 SCENARIOS)</t>
        </is>
      </c>
    </row>
    <row r="503">
      <c r="A503" s="132" t="inlineStr">
        <is>
          <t>All revenue cells are formulas. Change the blue assumption cells to model different scenarios.</t>
        </is>
      </c>
    </row>
    <row r="505">
      <c r="A505" s="133" t="inlineStr">
        <is>
          <t>PRICING ASSUMPTIONS</t>
        </is>
      </c>
    </row>
    <row r="506">
      <c r="A506" s="139" t="inlineStr">
        <is>
          <t>Current Pro price</t>
        </is>
      </c>
      <c r="B506" s="142" t="n">
        <v>5</v>
      </c>
    </row>
    <row r="507">
      <c r="A507" s="139" t="inlineStr">
        <is>
          <t>Current Team price</t>
        </is>
      </c>
      <c r="B507" s="142" t="n">
        <v>15</v>
      </c>
    </row>
    <row r="508">
      <c r="A508" s="139" t="inlineStr">
        <is>
          <t>Proposed Pro price</t>
        </is>
      </c>
      <c r="B508" s="142" t="n">
        <v>20</v>
      </c>
    </row>
    <row r="509">
      <c r="A509" s="139" t="inlineStr">
        <is>
          <t>Proposed Trader price</t>
        </is>
      </c>
      <c r="B509" s="142" t="n">
        <v>42</v>
      </c>
    </row>
    <row r="510">
      <c r="A510" s="139" t="inlineStr">
        <is>
          <t>Proposed Team price</t>
        </is>
      </c>
      <c r="B510" s="142" t="n">
        <v>99</v>
      </c>
    </row>
    <row r="512">
      <c r="A512" s="133" t="inlineStr">
        <is>
          <t>USER DISTRIBUTION ASSUMPTIONS</t>
        </is>
      </c>
    </row>
    <row r="513">
      <c r="A513" s="139" t="inlineStr">
        <is>
          <t>Current — Free %</t>
        </is>
      </c>
      <c r="B513" s="141" t="n">
        <v>0.6</v>
      </c>
    </row>
    <row r="514">
      <c r="A514" s="139" t="inlineStr">
        <is>
          <t>Current — Pro %</t>
        </is>
      </c>
      <c r="B514" s="141" t="n">
        <v>0.3</v>
      </c>
    </row>
    <row r="515">
      <c r="A515" s="139" t="inlineStr">
        <is>
          <t>Current — Team %</t>
        </is>
      </c>
      <c r="B515" s="141" t="n">
        <v>0.1</v>
      </c>
    </row>
    <row r="517">
      <c r="A517" s="139" t="inlineStr">
        <is>
          <t>Proposed — Free %</t>
        </is>
      </c>
      <c r="B517" s="141" t="n">
        <v>0.55</v>
      </c>
    </row>
    <row r="518">
      <c r="A518" s="139" t="inlineStr">
        <is>
          <t>Proposed — Pro %</t>
        </is>
      </c>
      <c r="B518" s="141" t="n">
        <v>0.2</v>
      </c>
    </row>
    <row r="519">
      <c r="A519" s="139" t="inlineStr">
        <is>
          <t>Proposed — Trader %</t>
        </is>
      </c>
      <c r="B519" s="141" t="n">
        <v>0.15</v>
      </c>
    </row>
    <row r="520">
      <c r="A520" s="139" t="inlineStr">
        <is>
          <t>Proposed — Team %</t>
        </is>
      </c>
      <c r="B520" s="141" t="n">
        <v>0.1</v>
      </c>
    </row>
    <row r="523">
      <c r="A523" s="133" t="inlineStr">
        <is>
          <t>REVENUE COMPARISON BY USER SCALE</t>
        </is>
      </c>
    </row>
    <row r="524">
      <c r="A524" s="134" t="inlineStr">
        <is>
          <t>Metric</t>
        </is>
      </c>
      <c r="B524" s="134" t="inlineStr">
        <is>
          <t>1,000 Users</t>
        </is>
      </c>
      <c r="C524" s="134" t="inlineStr">
        <is>
          <t>5,000 Users</t>
        </is>
      </c>
      <c r="D524" s="134" t="inlineStr">
        <is>
          <t>10,000 Users</t>
        </is>
      </c>
      <c r="E524" s="134" t="inlineStr"/>
      <c r="F524" s="134" t="inlineStr"/>
    </row>
    <row r="525">
      <c r="A525" s="133" t="inlineStr">
        <is>
          <t>Total users</t>
        </is>
      </c>
      <c r="B525" s="148" t="n">
        <v>1000</v>
      </c>
      <c r="C525" s="148" t="n">
        <v>5000</v>
      </c>
      <c r="D525" s="148" t="n">
        <v>10000</v>
      </c>
    </row>
    <row r="526">
      <c r="A526" s="133" t="inlineStr">
        <is>
          <t>Current MRR</t>
        </is>
      </c>
      <c r="B526" s="149">
        <f>$B$525*$B$514*$B$506+$B$525*$B$515*$B$507</f>
        <v/>
      </c>
      <c r="C526" s="149">
        <f>$C$525*$B$514*$B$506+$C$525*$B$515*$B$507</f>
        <v/>
      </c>
      <c r="D526" s="149">
        <f>$D$525*$B$514*$B$506+$D$525*$B$515*$B$507</f>
        <v/>
      </c>
    </row>
    <row r="527">
      <c r="A527" s="139" t="inlineStr">
        <is>
          <t xml:space="preserve">  Current Pro subs</t>
        </is>
      </c>
      <c r="B527" s="150">
        <f>$B$525*$B$514</f>
        <v/>
      </c>
      <c r="C527" s="150">
        <f>$C$525*$B$514</f>
        <v/>
      </c>
      <c r="D527" s="150">
        <f>$D$525*$B$514</f>
        <v/>
      </c>
    </row>
    <row r="528">
      <c r="A528" s="139" t="inlineStr">
        <is>
          <t xml:space="preserve">  Current Team subs</t>
        </is>
      </c>
      <c r="B528" s="150">
        <f>$B$525*$B$515</f>
        <v/>
      </c>
      <c r="C528" s="150">
        <f>$C$525*$B$515</f>
        <v/>
      </c>
      <c r="D528" s="150">
        <f>$D$525*$B$515</f>
        <v/>
      </c>
    </row>
    <row r="530">
      <c r="A530" s="133" t="inlineStr">
        <is>
          <t>Proposed MRR</t>
        </is>
      </c>
      <c r="B530" s="149">
        <f>$B$525*$B$518*$B$508+$B$525*$B$519*$B$509+$B$525*$B$520*$B$510</f>
        <v/>
      </c>
      <c r="C530" s="149">
        <f>$C$525*$B$518*$B$508+$C$525*$B$519*$B$509+$C$525*$B$520*$B$510</f>
        <v/>
      </c>
      <c r="D530" s="149">
        <f>$D$525*$B$518*$B$508+$D$525*$B$519*$B$509+$D$525*$B$520*$B$510</f>
        <v/>
      </c>
    </row>
    <row r="531">
      <c r="A531" s="139" t="inlineStr">
        <is>
          <t xml:space="preserve">  Proposed Pro subs</t>
        </is>
      </c>
      <c r="B531" s="150">
        <f>$B$525*$B$518</f>
        <v/>
      </c>
      <c r="C531" s="150">
        <f>$C$525*$B$518</f>
        <v/>
      </c>
      <c r="D531" s="150">
        <f>$D$525*$B$518</f>
        <v/>
      </c>
    </row>
    <row r="532">
      <c r="A532" s="139" t="inlineStr">
        <is>
          <t xml:space="preserve">  Proposed Trader subs</t>
        </is>
      </c>
      <c r="B532" s="150">
        <f>$B$525*$B$519</f>
        <v/>
      </c>
      <c r="C532" s="150">
        <f>$C$525*$B$519</f>
        <v/>
      </c>
      <c r="D532" s="150">
        <f>$D$525*$B$519</f>
        <v/>
      </c>
    </row>
    <row r="533">
      <c r="A533" s="139" t="inlineStr">
        <is>
          <t xml:space="preserve">  Proposed Team subs</t>
        </is>
      </c>
      <c r="B533" s="150">
        <f>$B$525*$B$520</f>
        <v/>
      </c>
      <c r="C533" s="150">
        <f>$C$525*$B$520</f>
        <v/>
      </c>
      <c r="D533" s="150">
        <f>$D$525*$B$520</f>
        <v/>
      </c>
    </row>
    <row r="535">
      <c r="A535" s="133" t="inlineStr">
        <is>
          <t>MRR Increase ($)</t>
        </is>
      </c>
      <c r="B535" s="151">
        <f>$B$530-$B$526</f>
        <v/>
      </c>
      <c r="C535" s="151">
        <f>$C$530-$C$526</f>
        <v/>
      </c>
      <c r="D535" s="151">
        <f>$D$530-$D$526</f>
        <v/>
      </c>
    </row>
    <row r="536">
      <c r="A536" s="133" t="inlineStr">
        <is>
          <t>Revenue Multiplier</t>
        </is>
      </c>
      <c r="B536" s="152">
        <f>$B$530/$B$526</f>
        <v/>
      </c>
      <c r="C536" s="152">
        <f>$C$530/$C$526</f>
        <v/>
      </c>
      <c r="D536" s="152">
        <f>$D$530/$D$526</f>
        <v/>
      </c>
    </row>
    <row r="537">
      <c r="A537" s="133" t="inlineStr">
        <is>
          <t>Revenue Increase %</t>
        </is>
      </c>
      <c r="B537" s="153">
        <f>($B$530-$B$526)/$B$526</f>
        <v/>
      </c>
      <c r="C537" s="153">
        <f>($C$530-$C$526)/$C$526</f>
        <v/>
      </c>
      <c r="D537" s="153">
        <f>($D$530-$D$526)/$D$526</f>
        <v/>
      </c>
    </row>
    <row r="539">
      <c r="A539" s="133" t="inlineStr">
        <is>
          <t>Current ARR</t>
        </is>
      </c>
      <c r="B539" s="149">
        <f>$B$526*12</f>
        <v/>
      </c>
      <c r="C539" s="149">
        <f>$C$526*12</f>
        <v/>
      </c>
      <c r="D539" s="149">
        <f>$D$526*12</f>
        <v/>
      </c>
    </row>
    <row r="540">
      <c r="A540" s="133" t="inlineStr">
        <is>
          <t>Proposed ARR</t>
        </is>
      </c>
      <c r="B540" s="151">
        <f>$B$530*12</f>
        <v/>
      </c>
      <c r="C540" s="151">
        <f>$C$530*12</f>
        <v/>
      </c>
      <c r="D540" s="151">
        <f>$D$530*12</f>
        <v/>
      </c>
    </row>
    <row r="541">
      <c r="A541" s="132" t="inlineStr">
        <is>
          <t>Tighter free tier (3/week vs 3/day) should push more users into Pro, potentially shifting distribution even more favorably than modeled above.</t>
        </is>
      </c>
    </row>
    <row r="543">
      <c r="A543" s="133" t="inlineStr">
        <is>
          <t>13D: COST-TO-SERVE VALIDATION PER TIER</t>
        </is>
      </c>
    </row>
    <row r="544">
      <c r="A544" s="132" t="inlineStr">
        <is>
          <t>Per-user monthly cost at typical usage. All unit costs are editable. Validates that margins are healthy at proposed prices.</t>
        </is>
      </c>
    </row>
    <row r="546">
      <c r="A546" s="139" t="inlineStr">
        <is>
          <t>Cost per scan (Helius API)</t>
        </is>
      </c>
      <c r="B546" s="154" t="n">
        <v>0.002</v>
      </c>
    </row>
    <row r="547">
      <c r="A547" s="139" t="inlineStr">
        <is>
          <t>Cost per Marcus query (Sonnet)</t>
        </is>
      </c>
      <c r="B547" s="140" t="n">
        <v>0.03</v>
      </c>
    </row>
    <row r="548">
      <c r="A548" s="139" t="inlineStr">
        <is>
          <t>Cost per Marcus Ultra (Opus)</t>
        </is>
      </c>
      <c r="B548" s="140" t="n">
        <v>5</v>
      </c>
    </row>
    <row r="550">
      <c r="A550" s="133" t="inlineStr">
        <is>
          <t>TYPICAL USAGE (per user/month)</t>
        </is>
      </c>
    </row>
    <row r="551">
      <c r="A551" s="134" t="inlineStr"/>
      <c r="B551" s="134" t="inlineStr">
        <is>
          <t>Pro</t>
        </is>
      </c>
      <c r="C551" s="134" t="inlineStr">
        <is>
          <t>Trader</t>
        </is>
      </c>
      <c r="D551" s="134" t="inlineStr">
        <is>
          <t>Team</t>
        </is>
      </c>
      <c r="E551" s="134" t="inlineStr"/>
      <c r="F551" s="134" t="inlineStr"/>
    </row>
    <row r="552">
      <c r="A552" s="139" t="inlineStr">
        <is>
          <t>Avg scans/month</t>
        </is>
      </c>
      <c r="B552" s="148" t="n">
        <v>200</v>
      </c>
      <c r="C552" s="148" t="n">
        <v>500</v>
      </c>
      <c r="D552" s="148" t="n">
        <v>1500</v>
      </c>
    </row>
    <row r="553">
      <c r="A553" s="139" t="inlineStr">
        <is>
          <t>Avg Marcus queries/month</t>
        </is>
      </c>
      <c r="B553" s="148" t="n">
        <v>80</v>
      </c>
      <c r="C553" s="148" t="n">
        <v>250</v>
      </c>
      <c r="D553" s="148" t="n">
        <v>800</v>
      </c>
    </row>
    <row r="554">
      <c r="A554" s="139" t="inlineStr">
        <is>
          <t>Avg Ultra queries/month</t>
        </is>
      </c>
      <c r="B554" s="148" t="n">
        <v>0</v>
      </c>
      <c r="C554" s="148" t="n">
        <v>2</v>
      </c>
      <c r="D554" s="148" t="n">
        <v>5</v>
      </c>
    </row>
    <row r="556">
      <c r="A556" s="133" t="inlineStr">
        <is>
          <t>COST BREAKDOWN — TYPICAL USAGE</t>
        </is>
      </c>
    </row>
    <row r="557">
      <c r="A557" s="134" t="inlineStr">
        <is>
          <t>Component</t>
        </is>
      </c>
      <c r="B557" s="134" t="inlineStr">
        <is>
          <t>Pro</t>
        </is>
      </c>
      <c r="C557" s="134" t="inlineStr">
        <is>
          <t>Trader</t>
        </is>
      </c>
      <c r="D557" s="134" t="inlineStr">
        <is>
          <t>Team</t>
        </is>
      </c>
      <c r="E557" s="134" t="inlineStr"/>
      <c r="F557" s="134" t="inlineStr"/>
    </row>
    <row r="558">
      <c r="A558" s="139" t="inlineStr">
        <is>
          <t>Scan cost</t>
        </is>
      </c>
      <c r="B558" s="155">
        <f>$B$552*$B$546</f>
        <v/>
      </c>
      <c r="C558" s="155">
        <f>$C$552*$B$546</f>
        <v/>
      </c>
      <c r="D558" s="155">
        <f>$D$552*$B$546</f>
        <v/>
      </c>
    </row>
    <row r="559">
      <c r="A559" s="139" t="inlineStr">
        <is>
          <t>Marcus cost</t>
        </is>
      </c>
      <c r="B559" s="155">
        <f>$B$553*$B$547</f>
        <v/>
      </c>
      <c r="C559" s="155">
        <f>$C$553*$B$547</f>
        <v/>
      </c>
      <c r="D559" s="155">
        <f>$D$553*$B$547</f>
        <v/>
      </c>
    </row>
    <row r="560">
      <c r="A560" s="139" t="inlineStr">
        <is>
          <t>Ultra cost</t>
        </is>
      </c>
      <c r="B560" s="155">
        <f>$B$554*$B$548</f>
        <v/>
      </c>
      <c r="C560" s="155">
        <f>$C$554*$B$548</f>
        <v/>
      </c>
      <c r="D560" s="155">
        <f>$D$554*$B$548</f>
        <v/>
      </c>
    </row>
    <row r="561">
      <c r="A561" s="133" t="inlineStr">
        <is>
          <t>Total cost/user</t>
        </is>
      </c>
      <c r="B561" s="156">
        <f>$B$558+$B$559+$B$560</f>
        <v/>
      </c>
      <c r="C561" s="156">
        <f>$C$558+$C$559+$C$560</f>
        <v/>
      </c>
      <c r="D561" s="156">
        <f>$D$558+$D$559+$D$560</f>
        <v/>
      </c>
    </row>
    <row r="562">
      <c r="A562" s="133" t="inlineStr">
        <is>
          <t>Subscription price</t>
        </is>
      </c>
      <c r="B562" s="149">
        <f>$B$508</f>
        <v/>
      </c>
      <c r="C562" s="149">
        <f>$B$509</f>
        <v/>
      </c>
      <c r="D562" s="149">
        <f>$B$510</f>
        <v/>
      </c>
    </row>
    <row r="563">
      <c r="A563" s="133" t="inlineStr">
        <is>
          <t>Gross margin (typical)</t>
        </is>
      </c>
      <c r="B563" s="153">
        <f>($B$562-$B$561)/$B$562</f>
        <v/>
      </c>
      <c r="C563" s="153">
        <f>($C$562-$C$561)/$C$562</f>
        <v/>
      </c>
      <c r="D563" s="153">
        <f>($D$562-$D$561)/$D$562</f>
        <v/>
      </c>
    </row>
    <row r="565">
      <c r="A565" s="132" t="inlineStr">
        <is>
          <t>Pro is a cash cow at ~86% margin. Trader solid at ~56%. Team sustainable at ~47% typical — heavy users also drive x402 API revenue.</t>
        </is>
      </c>
    </row>
    <row r="567">
      <c r="A567" s="133" t="inlineStr">
        <is>
          <t>13E: ANNUAL PRICING &amp; $CRM TOKEN HOLDER DISCOUNT MATRIX</t>
        </is>
      </c>
    </row>
    <row r="568">
      <c r="A568" s="132" t="inlineStr">
        <is>
          <t>Annual = 10 months (2 free). CRM holder discounts applied per actual code (flat 30%) AND per graduated Excel model (referencing Section 2 assumptions).</t>
        </is>
      </c>
    </row>
    <row r="570">
      <c r="A570" s="139" t="inlineStr">
        <is>
          <t>SOL price (USD)</t>
        </is>
      </c>
      <c r="B570" s="142" t="n">
        <v>180</v>
      </c>
    </row>
    <row r="571">
      <c r="A571" s="139" t="inlineStr">
        <is>
          <t>Stars rate (USD per star)</t>
        </is>
      </c>
      <c r="B571" s="154" t="n">
        <v>0.02</v>
      </c>
    </row>
    <row r="572">
      <c r="A572" s="139" t="inlineStr">
        <is>
          <t>CRM holder discount (flat, per code)</t>
        </is>
      </c>
      <c r="B572" s="141" t="n">
        <v>0.3</v>
      </c>
    </row>
    <row r="573">
      <c r="A573" s="139" t="inlineStr">
        <is>
          <t>Annual months charged (12 - 2 free)</t>
        </is>
      </c>
      <c r="B573" s="148" t="n">
        <v>10</v>
      </c>
    </row>
    <row r="575">
      <c r="A575" s="133" t="inlineStr">
        <is>
          <t>BASE PRICING (all payment methods)</t>
        </is>
      </c>
    </row>
    <row r="576">
      <c r="A576" s="134" t="inlineStr">
        <is>
          <t>Payment Method</t>
        </is>
      </c>
      <c r="B576" s="134" t="inlineStr">
        <is>
          <t>Pro</t>
        </is>
      </c>
      <c r="C576" s="134" t="inlineStr">
        <is>
          <t>Trader</t>
        </is>
      </c>
      <c r="D576" s="134" t="inlineStr">
        <is>
          <t>Team</t>
        </is>
      </c>
      <c r="E576" s="134" t="inlineStr"/>
      <c r="F576" s="134" t="inlineStr"/>
    </row>
    <row r="577">
      <c r="A577" s="133" t="inlineStr">
        <is>
          <t>Monthly (USD)</t>
        </is>
      </c>
      <c r="B577" s="149">
        <f>$B$508</f>
        <v/>
      </c>
      <c r="C577" s="149">
        <f>$B$509</f>
        <v/>
      </c>
      <c r="D577" s="149">
        <f>$B$510</f>
        <v/>
      </c>
    </row>
    <row r="578">
      <c r="A578" s="139" t="inlineStr">
        <is>
          <t>Annual (USD)</t>
        </is>
      </c>
      <c r="B578" s="157">
        <f>$B$577*$B$573</f>
        <v/>
      </c>
      <c r="C578" s="157">
        <f>$C$577*$B$573</f>
        <v/>
      </c>
      <c r="D578" s="157">
        <f>$D$577*$B$573</f>
        <v/>
      </c>
    </row>
    <row r="579">
      <c r="A579" s="139" t="inlineStr">
        <is>
          <t>Stars/month</t>
        </is>
      </c>
      <c r="B579" s="150">
        <f>$B$577/$B$571</f>
        <v/>
      </c>
      <c r="C579" s="150">
        <f>$C$577/$B$571</f>
        <v/>
      </c>
      <c r="D579" s="150">
        <f>$D$577/$B$571</f>
        <v/>
      </c>
    </row>
    <row r="580">
      <c r="A580" s="139" t="inlineStr">
        <is>
          <t>Stars/year</t>
        </is>
      </c>
      <c r="B580" s="150">
        <f>$B$577*$B$573/$B$571</f>
        <v/>
      </c>
      <c r="C580" s="150">
        <f>$C$577*$B$573/$B$571</f>
        <v/>
      </c>
      <c r="D580" s="150">
        <f>$D$577*$B$573/$B$571</f>
        <v/>
      </c>
    </row>
    <row r="581">
      <c r="A581" s="139" t="inlineStr">
        <is>
          <t>USDC/month</t>
        </is>
      </c>
      <c r="B581" s="157">
        <f>$B$577</f>
        <v/>
      </c>
      <c r="C581" s="157">
        <f>$C$577</f>
        <v/>
      </c>
      <c r="D581" s="157">
        <f>$D$577</f>
        <v/>
      </c>
    </row>
    <row r="582">
      <c r="A582" s="139" t="inlineStr">
        <is>
          <t>SOL/month</t>
        </is>
      </c>
      <c r="B582" s="158">
        <f>$B$577/$B$570</f>
        <v/>
      </c>
      <c r="C582" s="158">
        <f>$C$577/$B$570</f>
        <v/>
      </c>
      <c r="D582" s="158">
        <f>$D$577/$B$570</f>
        <v/>
      </c>
    </row>
    <row r="584">
      <c r="A584" s="133" t="inlineStr">
        <is>
          <t>$CRM HOLDER PRICING — FLAT 30% DISCOUNT (matches actual bot code)</t>
        </is>
      </c>
    </row>
    <row r="585">
      <c r="A585" s="132" t="inlineStr">
        <is>
          <t>The bot code applies a flat 30% discount for any wallet holding 500K+ $CRM tokens. This is the operative discount — see Section 10 for Excel vs code discrepancy notes.</t>
        </is>
      </c>
    </row>
    <row r="586">
      <c r="A586" s="134" t="inlineStr"/>
      <c r="B586" s="134" t="inlineStr">
        <is>
          <t>Pro</t>
        </is>
      </c>
      <c r="C586" s="134" t="inlineStr">
        <is>
          <t>Trader</t>
        </is>
      </c>
      <c r="D586" s="134" t="inlineStr">
        <is>
          <t>Team</t>
        </is>
      </c>
      <c r="E586" s="134" t="inlineStr"/>
      <c r="F586" s="134" t="inlineStr"/>
    </row>
    <row r="587">
      <c r="A587" s="133" t="inlineStr">
        <is>
          <t>CRM holder monthly (30% off)</t>
        </is>
      </c>
      <c r="B587" s="159">
        <f>$B$577*(1-$B$572)</f>
        <v/>
      </c>
      <c r="C587" s="159">
        <f>$C$577*(1-$B$572)</f>
        <v/>
      </c>
      <c r="D587" s="159">
        <f>$D$577*(1-$B$572)</f>
        <v/>
      </c>
    </row>
    <row r="588">
      <c r="A588" s="139" t="inlineStr">
        <is>
          <t>CRM holder annual (30% off)</t>
        </is>
      </c>
      <c r="B588" s="155">
        <f>$B$587*$B$573</f>
        <v/>
      </c>
      <c r="C588" s="155">
        <f>$C$587*$B$573</f>
        <v/>
      </c>
      <c r="D588" s="155">
        <f>$D$587*$B$573</f>
        <v/>
      </c>
    </row>
    <row r="589">
      <c r="A589" s="139" t="inlineStr">
        <is>
          <t>CRM holder Stars/month</t>
        </is>
      </c>
      <c r="B589" s="150">
        <f>$B$587/$B$571</f>
        <v/>
      </c>
      <c r="C589" s="150">
        <f>$C$587/$B$571</f>
        <v/>
      </c>
      <c r="D589" s="150">
        <f>$D$587/$B$571</f>
        <v/>
      </c>
    </row>
    <row r="590">
      <c r="A590" s="139" t="inlineStr">
        <is>
          <t>CRM holder SOL/month</t>
        </is>
      </c>
      <c r="B590" s="158">
        <f>$B$587/$B$570</f>
        <v/>
      </c>
      <c r="C590" s="158">
        <f>$C$587/$B$570</f>
        <v/>
      </c>
      <c r="D590" s="158">
        <f>$D$587/$B$570</f>
        <v/>
      </c>
    </row>
    <row r="592">
      <c r="A592" s="133" t="inlineStr">
        <is>
          <t>$CRM GRADUATED DISCOUNT — REFERENCES SECTION 2 TIER ASSUMPTIONS</t>
        </is>
      </c>
    </row>
    <row r="593">
      <c r="A593" s="132" t="inlineStr">
        <is>
          <t>If graduated discounts are implemented in code (Bronze 10% → Diamond 50%), these formulas reference the editable assumptions at row 18. Currently code uses flat 30%.</t>
        </is>
      </c>
    </row>
    <row r="594">
      <c r="A594" s="134" t="inlineStr">
        <is>
          <t>Tier</t>
        </is>
      </c>
      <c r="B594" s="134" t="inlineStr">
        <is>
          <t>Bronze (10%)</t>
        </is>
      </c>
      <c r="C594" s="134" t="inlineStr">
        <is>
          <t>Silver (20%)</t>
        </is>
      </c>
      <c r="D594" s="134" t="inlineStr">
        <is>
          <t>Gold (35%)</t>
        </is>
      </c>
      <c r="E594" s="134" t="inlineStr">
        <is>
          <t>Diamond (50%)</t>
        </is>
      </c>
      <c r="F594" s="134" t="inlineStr"/>
    </row>
    <row r="595">
      <c r="A595" s="139" t="inlineStr">
        <is>
          <t>Pro monthly</t>
        </is>
      </c>
      <c r="B595" s="155">
        <f>$B$508*(1-$B$18)</f>
        <v/>
      </c>
      <c r="C595" s="155">
        <f>$B$508*(1-$C$18)</f>
        <v/>
      </c>
      <c r="D595" s="155">
        <f>$B$508*(1-$D$18)</f>
        <v/>
      </c>
      <c r="E595" s="155">
        <f>$B$508*(1-$E$18)</f>
        <v/>
      </c>
    </row>
    <row r="596">
      <c r="A596" s="139" t="inlineStr">
        <is>
          <t>Trader monthly</t>
        </is>
      </c>
      <c r="B596" s="155">
        <f>$B$509*(1-$B$18)</f>
        <v/>
      </c>
      <c r="C596" s="155">
        <f>$B$509*(1-$C$18)</f>
        <v/>
      </c>
      <c r="D596" s="155">
        <f>$B$509*(1-$D$18)</f>
        <v/>
      </c>
      <c r="E596" s="155">
        <f>$B$509*(1-$E$18)</f>
        <v/>
      </c>
    </row>
    <row r="597">
      <c r="A597" s="139" t="inlineStr">
        <is>
          <t>Team monthly</t>
        </is>
      </c>
      <c r="B597" s="155">
        <f>$B$510*(1-$B$18)</f>
        <v/>
      </c>
      <c r="C597" s="155">
        <f>$B$510*(1-$C$18)</f>
        <v/>
      </c>
      <c r="D597" s="155">
        <f>$B$510*(1-$D$18)</f>
        <v/>
      </c>
      <c r="E597" s="155">
        <f>$B$510*(1-$E$18)</f>
        <v/>
      </c>
    </row>
    <row r="598">
      <c r="A598" s="132" t="inlineStr">
        <is>
          <t>These cells are LIVE-LINKED to Section 2 row 18 discount assumptions. Change discount % there → prices here auto-update.</t>
        </is>
      </c>
    </row>
    <row r="600">
      <c r="A600" s="133" t="inlineStr">
        <is>
          <t>13F: CONVERSION FUNNEL &amp; UPGRADE TRIGGERS</t>
        </is>
      </c>
    </row>
    <row r="601">
      <c r="A601" s="132" t="inlineStr">
        <is>
          <t>Marcus AI gating is the primary upgrade lever. Each tier boundary has a trigger shown at maximum intent.</t>
        </is>
      </c>
    </row>
    <row r="603">
      <c r="A603" s="134" t="inlineStr">
        <is>
          <t>Transition</t>
        </is>
      </c>
      <c r="B603" s="134" t="inlineStr">
        <is>
          <t>Trigger</t>
        </is>
      </c>
      <c r="C603" s="134" t="inlineStr">
        <is>
          <t>Message</t>
        </is>
      </c>
      <c r="D603" s="134" t="inlineStr">
        <is>
          <t>Primary Lever</t>
        </is>
      </c>
      <c r="E603" s="134" t="inlineStr"/>
      <c r="F603" s="134" t="inlineStr"/>
    </row>
    <row r="604">
      <c r="A604" s="135" t="inlineStr">
        <is>
          <t>Free → Pro ($20)</t>
        </is>
      </c>
      <c r="B604" s="136" t="inlineStr">
        <is>
          <t>3 weekly scans exhausted</t>
        </is>
      </c>
      <c r="C604" s="160" t="inlineStr">
        <is>
          <t>You've used all 3 scans this week. Upgrade to Pro for 15/day + Marcus AI.</t>
        </is>
      </c>
      <c r="D604" s="136" t="inlineStr">
        <is>
          <t>Scan scarcity + Marcus unlock</t>
        </is>
      </c>
      <c r="E604" s="136" t="inlineStr"/>
      <c r="F604" s="136" t="inlineStr"/>
    </row>
    <row r="605">
      <c r="A605" s="135" t="inlineStr">
        <is>
          <t>Free → Pro ($20)</t>
        </is>
      </c>
      <c r="B605" s="136" t="inlineStr">
        <is>
          <t>After every free scan</t>
        </is>
      </c>
      <c r="C605" s="160" t="inlineStr">
        <is>
          <t>Marcus AI would flag 3 additional risks — upgrade to Pro to unlock.</t>
        </is>
      </c>
      <c r="D605" s="136" t="inlineStr">
        <is>
          <t>Zero Marcus = max pressure</t>
        </is>
      </c>
      <c r="E605" s="136" t="inlineStr"/>
      <c r="F605" s="136" t="inlineStr"/>
    </row>
    <row r="606">
      <c r="A606" s="135" t="inlineStr">
        <is>
          <t>Pro → Trader ($42)</t>
        </is>
      </c>
      <c r="B606" s="136" t="inlineStr">
        <is>
          <t>Ultra risk detection</t>
        </is>
      </c>
      <c r="C606" s="160" t="inlineStr">
        <is>
          <t>Marcus Ultra detected 3 hidden contract risks — unlock 3 Ultra/month.</t>
        </is>
      </c>
      <c r="D606" s="136" t="inlineStr">
        <is>
          <t>Ultra AI upsell</t>
        </is>
      </c>
      <c r="E606" s="136" t="inlineStr"/>
      <c r="F606" s="136" t="inlineStr"/>
    </row>
    <row r="607">
      <c r="A607" s="135" t="inlineStr">
        <is>
          <t>Pro → Trader ($42)</t>
        </is>
      </c>
      <c r="B607" s="136" t="inlineStr">
        <is>
          <t>Marcus daily limit</t>
        </is>
      </c>
      <c r="C607" s="160" t="inlineStr">
        <is>
          <t>5 Marcus queries used today. Trader gets 15/day + full deep analysis.</t>
        </is>
      </c>
      <c r="D607" s="136" t="inlineStr">
        <is>
          <t>Marcus volume ceiling</t>
        </is>
      </c>
      <c r="E607" s="136" t="inlineStr"/>
      <c r="F607" s="136" t="inlineStr"/>
    </row>
    <row r="608">
      <c r="A608" s="135" t="inlineStr">
        <is>
          <t>Trader → Team ($99)</t>
        </is>
      </c>
      <c r="B608" s="136" t="inlineStr">
        <is>
          <t>API access request</t>
        </is>
      </c>
      <c r="C608" s="160" t="inlineStr">
        <is>
          <t>Need API for your trading bot? Team unlocks full x402 API + 50 Marcus/day.</t>
        </is>
      </c>
      <c r="D608" s="136" t="inlineStr">
        <is>
          <t>API exclusivity</t>
        </is>
      </c>
      <c r="E608" s="136" t="inlineStr"/>
      <c r="F608" s="136" t="inlineStr"/>
    </row>
    <row r="609">
      <c r="A609" s="135" t="inlineStr">
        <is>
          <t>Trader → Team ($99)</t>
        </is>
      </c>
      <c r="B609" s="136" t="inlineStr">
        <is>
          <t>History/wallet limits</t>
        </is>
      </c>
      <c r="C609" s="160" t="inlineStr">
        <is>
          <t>Upgrade to Team for unlimited history, 50 tracked wallets, priority support.</t>
        </is>
      </c>
      <c r="D609" s="136" t="inlineStr">
        <is>
          <t>Power-user ceiling</t>
        </is>
      </c>
      <c r="E609" s="136" t="inlineStr"/>
      <c r="F609" s="136" t="inlineStr"/>
    </row>
    <row r="611">
      <c r="A611" s="132" t="inlineStr">
        <is>
          <t>Key: 0 Marcus on Free is the single most important conversion lever. Monday weekly reset creates "scan budget" psychology.</t>
        </is>
      </c>
    </row>
    <row r="612">
      <c r="A612" s="132" t="inlineStr">
        <is>
          <t>End of Section 13. This is a PROPOSAL — no bot code has been changed. Implementation requires updating config.py after pricing is approved.</t>
        </is>
      </c>
    </row>
  </sheetData>
  <mergeCells count="62">
    <mergeCell ref="A212:F212"/>
    <mergeCell ref="A205:F205"/>
    <mergeCell ref="A177:F177"/>
    <mergeCell ref="A208:F208"/>
    <mergeCell ref="A105:F105"/>
    <mergeCell ref="A214:F214"/>
    <mergeCell ref="A50:F50"/>
    <mergeCell ref="A145:F145"/>
    <mergeCell ref="A456:F456"/>
    <mergeCell ref="A611:F611"/>
    <mergeCell ref="A503:F503"/>
    <mergeCell ref="A301:F301"/>
    <mergeCell ref="A104:F104"/>
    <mergeCell ref="A297:F297"/>
    <mergeCell ref="A242:F242"/>
    <mergeCell ref="A85:F85"/>
    <mergeCell ref="A269:F269"/>
    <mergeCell ref="A278:F278"/>
    <mergeCell ref="A298:F298"/>
    <mergeCell ref="A181:F181"/>
    <mergeCell ref="A483:F483"/>
    <mergeCell ref="A598:F598"/>
    <mergeCell ref="A303:F303"/>
    <mergeCell ref="A601:F601"/>
    <mergeCell ref="A206:F206"/>
    <mergeCell ref="A4:F4"/>
    <mergeCell ref="A244:F244"/>
    <mergeCell ref="A240:F240"/>
    <mergeCell ref="A209:F209"/>
    <mergeCell ref="A91:F91"/>
    <mergeCell ref="A324:F324"/>
    <mergeCell ref="A215:F215"/>
    <mergeCell ref="A180:F180"/>
    <mergeCell ref="A482:F482"/>
    <mergeCell ref="A323:F323"/>
    <mergeCell ref="A612:F612"/>
    <mergeCell ref="A299:F299"/>
    <mergeCell ref="A541:F541"/>
    <mergeCell ref="A544:F544"/>
    <mergeCell ref="A211:F211"/>
    <mergeCell ref="A593:F593"/>
    <mergeCell ref="A500:F500"/>
    <mergeCell ref="A245:F245"/>
    <mergeCell ref="A143:F143"/>
    <mergeCell ref="A565:F565"/>
    <mergeCell ref="A270:F270"/>
    <mergeCell ref="A30:F30"/>
    <mergeCell ref="A455:F455"/>
    <mergeCell ref="A279:F279"/>
    <mergeCell ref="A568:F568"/>
    <mergeCell ref="A142:F142"/>
    <mergeCell ref="A304:F304"/>
    <mergeCell ref="A11:F11"/>
    <mergeCell ref="A207:F207"/>
    <mergeCell ref="A300:F300"/>
    <mergeCell ref="A1:F1"/>
    <mergeCell ref="A178:F178"/>
    <mergeCell ref="A325:F325"/>
    <mergeCell ref="A146:F146"/>
    <mergeCell ref="A241:F241"/>
    <mergeCell ref="A585:F585"/>
    <mergeCell ref="A486:F486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"/>
  <sheetViews>
    <sheetView zoomScaleNormal="100" workbookViewId="0">
      <selection activeCell="A1" sqref="A1"/>
    </sheetView>
  </sheetViews>
  <sheetFormatPr baseColWidth="10" defaultColWidth="8.6640625" defaultRowHeight="15"/>
  <cols>
    <col width="48" customWidth="1" style="91" min="1" max="1"/>
    <col width="18" customWidth="1" style="91" min="2" max="4"/>
    <col width="24" customWidth="1" style="91" min="5" max="5"/>
  </cols>
  <sheetData>
    <row r="1" ht="27.75" customHeight="1" s="91">
      <c r="A1" s="95" t="inlineStr">
        <is>
          <t>$CRM LAMINAR BOT  —  REVENUE SPLIT &amp; PRICING MODEL</t>
        </is>
      </c>
    </row>
    <row r="2" ht="15" customHeight="1" s="91">
      <c r="A2" s="34" t="inlineStr">
        <is>
          <t>Blue = assumptions you can change  |  Yellow = key inputs  |  Black = formulas  |  All figures monthly</t>
        </is>
      </c>
    </row>
    <row r="4" ht="15" customHeight="1" s="91">
      <c r="B4" s="59" t="inlineStr">
        <is>
          <t>1,000 USERS</t>
        </is>
      </c>
      <c r="C4" s="59" t="inlineStr">
        <is>
          <t>10,000 USERS</t>
        </is>
      </c>
      <c r="D4" s="59" t="inlineStr">
        <is>
          <t>100,000 USERS</t>
        </is>
      </c>
    </row>
    <row r="6" ht="24" customHeight="1" s="91">
      <c r="A6" s="94" t="inlineStr">
        <is>
          <t>💸  TOTAL MONTHLY COSTS  (from Enterprise Pricing sheet)</t>
        </is>
      </c>
    </row>
    <row r="7" ht="15" customHeight="1" s="91">
      <c r="A7" s="35" t="inlineStr">
        <is>
          <t>SC.io Managed Infra (3× Hetzner markup)</t>
        </is>
      </c>
      <c r="B7" s="55" t="n">
        <v>177</v>
      </c>
      <c r="C7" s="55" t="n">
        <v>456</v>
      </c>
      <c r="D7" s="55" t="n">
        <v>1056</v>
      </c>
      <c r="E7" s="34" t="inlineStr">
        <is>
          <t>← Hostable infra only (what you pay SC.io)</t>
        </is>
      </c>
    </row>
    <row r="8" ht="15" customHeight="1" s="91">
      <c r="A8" s="35" t="inlineStr">
        <is>
          <t>Helius RPC (Solana)</t>
        </is>
      </c>
      <c r="B8" s="55" t="n">
        <v>49</v>
      </c>
      <c r="C8" s="55" t="n">
        <v>499</v>
      </c>
      <c r="D8" s="55" t="n">
        <v>999</v>
      </c>
    </row>
    <row r="9" ht="15" customHeight="1" s="91">
      <c r="A9" s="35" t="inlineStr">
        <is>
          <t>Anthropic Claude Sonnet</t>
        </is>
      </c>
      <c r="B9" s="55" t="n">
        <v>50</v>
      </c>
      <c r="C9" s="55" t="n">
        <v>400</v>
      </c>
      <c r="D9" s="55" t="n">
        <v>3000</v>
      </c>
    </row>
    <row r="10" ht="15" customHeight="1" s="91">
      <c r="A10" s="35" t="inlineStr">
        <is>
          <t>Google Gemini Flash</t>
        </is>
      </c>
      <c r="B10" s="55" t="n">
        <v>5</v>
      </c>
      <c r="C10" s="55" t="n">
        <v>20</v>
      </c>
      <c r="D10" s="55" t="n">
        <v>80</v>
      </c>
    </row>
    <row r="11" ht="15" customHeight="1" s="91">
      <c r="A11" s="35" t="inlineStr">
        <is>
          <t>X API (Filtered Stream + Cache)</t>
        </is>
      </c>
      <c r="B11" s="55" t="n">
        <v>129</v>
      </c>
      <c r="C11" s="55" t="n">
        <v>546</v>
      </c>
      <c r="D11" s="55" t="n">
        <v>1440</v>
      </c>
    </row>
    <row r="12" ht="15" customHeight="1" s="91">
      <c r="A12" s="35" t="inlineStr">
        <is>
          <t>DexScreener / Other</t>
        </is>
      </c>
      <c r="B12" s="55" t="n">
        <v>0</v>
      </c>
      <c r="C12" s="55" t="n">
        <v>0</v>
      </c>
      <c r="D12" s="55" t="n">
        <v>0</v>
      </c>
    </row>
    <row r="13" ht="15" customHeight="1" s="91">
      <c r="A13" s="39" t="inlineStr">
        <is>
          <t>TOTAL MONTHLY COST</t>
        </is>
      </c>
      <c r="B13" s="50">
        <f>B7+B8+B9+B10+B11+B12</f>
        <v/>
      </c>
      <c r="C13" s="50">
        <f>C7+C8+C9+C10+C11+C12</f>
        <v/>
      </c>
      <c r="D13" s="50">
        <f>D7+D8+D9+D10+D11+D12</f>
        <v/>
      </c>
    </row>
    <row r="14" ht="15" customHeight="1" s="91">
      <c r="A14" s="35" t="inlineStr">
        <is>
          <t>Cost per user / month</t>
        </is>
      </c>
      <c r="B14" s="44">
        <f>B13/1000</f>
        <v/>
      </c>
      <c r="C14" s="44">
        <f>C13/10000</f>
        <v/>
      </c>
      <c r="D14" s="44">
        <f>D13/100000</f>
        <v/>
      </c>
    </row>
    <row r="16" ht="24" customHeight="1" s="91">
      <c r="A16" s="94" t="inlineStr">
        <is>
          <t>🔀  REVENUE SPLIT STRUCTURE</t>
        </is>
      </c>
    </row>
    <row r="17" ht="15" customHeight="1" s="91">
      <c r="A17" s="35" t="inlineStr">
        <is>
          <t>Operator / Developer (you)</t>
        </is>
      </c>
      <c r="B17" s="46" t="n">
        <v>0.7</v>
      </c>
      <c r="E17" s="34" t="inlineStr">
        <is>
          <t>← Covers infra, APIs, development, ops, profit</t>
        </is>
      </c>
    </row>
    <row r="18" ht="15" customHeight="1" s="91">
      <c r="A18" s="35" t="inlineStr">
        <is>
          <t>$CRM Project Wallet (community / buyback)</t>
        </is>
      </c>
      <c r="B18" s="46" t="n">
        <v>0.25</v>
      </c>
      <c r="E18" s="34" t="inlineStr">
        <is>
          <t>← Token buyback, community treasury, ecosystem</t>
        </is>
      </c>
    </row>
    <row r="19" ht="15" customHeight="1" s="91">
      <c r="A19" s="35" t="inlineStr">
        <is>
          <t>Project Owner LLC</t>
        </is>
      </c>
      <c r="B19" s="46" t="n">
        <v>0.05</v>
      </c>
      <c r="E19" s="34" t="inlineStr">
        <is>
          <t>← LLC operating costs, legal, compliance</t>
        </is>
      </c>
    </row>
    <row r="20" ht="15" customHeight="1" s="91">
      <c r="A20" s="39" t="inlineStr">
        <is>
          <t>Total split (sanity check)</t>
        </is>
      </c>
      <c r="B20" s="49">
        <f>B17+B18+B19</f>
        <v/>
      </c>
      <c r="E20" s="34" t="inlineStr">
        <is>
          <t>← Must equal 100%</t>
        </is>
      </c>
    </row>
    <row r="22" ht="24" customHeight="1" s="91">
      <c r="A22" s="94" t="inlineStr">
        <is>
          <t>📐  BREAKEVEN ANALYSIS  —  Minimum revenue so 25% project wallet covers costs</t>
        </is>
      </c>
    </row>
    <row r="23" ht="15" customHeight="1" s="91">
      <c r="A23" s="34" t="inlineStr">
        <is>
          <t>Costs (infra + APIs) are paid from the 25% $CRM Project Wallet. The 70% operator share is pure take-home for you and your dev team. 5% is CRM LLC royalty.</t>
        </is>
      </c>
    </row>
    <row r="24" ht="15" customHeight="1" s="91">
      <c r="A24" s="39" t="inlineStr">
        <is>
          <t>Min. gross revenue to cover costs (cost ÷ project wallet %)</t>
        </is>
      </c>
      <c r="B24" s="60">
        <f>B13/$B$18</f>
        <v/>
      </c>
      <c r="C24" s="60">
        <f>C13/$B$18</f>
        <v/>
      </c>
      <c r="D24" s="60">
        <f>D13/$B$18</f>
        <v/>
      </c>
      <c r="E24" s="34" t="inlineStr">
        <is>
          <t>← Total revenue needed so 25% wallet covers all costs</t>
        </is>
      </c>
    </row>
    <row r="25" ht="15" customHeight="1" s="91">
      <c r="A25" s="35" t="inlineStr">
        <is>
          <t>Breakeven price per user / month</t>
        </is>
      </c>
      <c r="B25" s="44">
        <f>B24/1000</f>
        <v/>
      </c>
      <c r="C25" s="44">
        <f>C24/10000</f>
        <v/>
      </c>
      <c r="D25" s="44">
        <f>D24/100000</f>
        <v/>
      </c>
      <c r="E25" s="34" t="inlineStr">
        <is>
          <t>← Absolute minimum (zero surplus in project wallet)</t>
        </is>
      </c>
    </row>
    <row r="27" ht="24" customHeight="1" s="91">
      <c r="A27" s="94" t="inlineStr">
        <is>
          <t>💰  SUBSCRIPTION PRICING TIERS  —  Scenario Modelling</t>
        </is>
      </c>
    </row>
    <row r="28" ht="15" customHeight="1" s="91">
      <c r="A28" s="34" t="inlineStr">
        <is>
          <t>Model 4 tiers: Free, Pro ($20), Trader ($42), Team ($99). Adjust prices to see how splits and margins change.</t>
        </is>
      </c>
    </row>
    <row r="30" ht="15" customHeight="1" s="91">
      <c r="A30" s="61" t="inlineStr">
        <is>
          <t>TIER 1: Free</t>
        </is>
      </c>
    </row>
    <row r="31" ht="15" customHeight="1" s="91">
      <c r="A31" s="35" t="inlineStr">
        <is>
          <t>Monthly price per user</t>
        </is>
      </c>
      <c r="B31" s="47" t="n">
        <v>0</v>
      </c>
      <c r="C31" s="47" t="n">
        <v>0</v>
      </c>
      <c r="D31" s="47" t="n">
        <v>0</v>
      </c>
      <c r="E31" s="34" t="inlineStr">
        <is>
          <t>← Free tier: 3 scans/week (Mon reset)</t>
        </is>
      </c>
    </row>
    <row r="32" ht="15" customHeight="1" s="91">
      <c r="A32" s="35" t="inlineStr">
        <is>
          <t>% of users on this tier</t>
        </is>
      </c>
      <c r="B32" s="46" t="n">
        <v>0.55</v>
      </c>
      <c r="C32" s="46" t="n">
        <v>0.55</v>
      </c>
      <c r="D32" s="46" t="n">
        <v>0.55</v>
      </c>
    </row>
    <row r="33" ht="15" customHeight="1" s="91">
      <c r="A33" s="35" t="inlineStr">
        <is>
          <t>Users on this tier</t>
        </is>
      </c>
      <c r="B33" s="48">
        <f>1000*B32</f>
        <v/>
      </c>
      <c r="C33" s="48">
        <f>10000*C32</f>
        <v/>
      </c>
      <c r="D33" s="48">
        <f>100000*D32</f>
        <v/>
      </c>
    </row>
    <row r="34" ht="15" customHeight="1" s="91">
      <c r="A34" s="35" t="inlineStr">
        <is>
          <t>Tier 1 revenue / month</t>
        </is>
      </c>
      <c r="B34" s="38">
        <f>B33*B31</f>
        <v/>
      </c>
      <c r="C34" s="38">
        <f>C33*C31</f>
        <v/>
      </c>
      <c r="D34" s="38">
        <f>D33*D31</f>
        <v/>
      </c>
    </row>
    <row r="36" ht="15" customHeight="1" s="91">
      <c r="A36" s="61" t="inlineStr">
        <is>
          <t>TIER 2: Pro</t>
        </is>
      </c>
    </row>
    <row r="37" ht="15" customHeight="1" s="91">
      <c r="A37" s="35" t="inlineStr">
        <is>
          <t>Monthly price per user</t>
        </is>
      </c>
      <c r="B37" s="47" t="n">
        <v>20</v>
      </c>
      <c r="C37" s="47" t="n">
        <v>20</v>
      </c>
      <c r="D37" s="47" t="n">
        <v>20</v>
      </c>
      <c r="E37" s="34" t="inlineStr">
        <is>
          <t>← Flat $20/mo at all scales. Marcus AI unlock.</t>
        </is>
      </c>
    </row>
    <row r="38" ht="15" customHeight="1" s="91">
      <c r="A38" s="35" t="inlineStr">
        <is>
          <t>% of users on this tier</t>
        </is>
      </c>
      <c r="B38" s="46" t="n">
        <v>0.2</v>
      </c>
      <c r="C38" s="46" t="n">
        <v>0.2</v>
      </c>
      <c r="D38" s="46" t="n">
        <v>0.2</v>
      </c>
    </row>
    <row r="39" ht="15" customHeight="1" s="91">
      <c r="A39" s="35" t="inlineStr">
        <is>
          <t>Users on this tier</t>
        </is>
      </c>
      <c r="B39" s="48">
        <f>1000*B38</f>
        <v/>
      </c>
      <c r="C39" s="48">
        <f>10000*C38</f>
        <v/>
      </c>
      <c r="D39" s="48">
        <f>100000*D38</f>
        <v/>
      </c>
    </row>
    <row r="40" ht="15" customHeight="1" s="91">
      <c r="A40" s="35" t="inlineStr">
        <is>
          <t>Tier 2 revenue / month</t>
        </is>
      </c>
      <c r="B40" s="38">
        <f>B39*B37</f>
        <v/>
      </c>
      <c r="C40" s="38">
        <f>C39*C37</f>
        <v/>
      </c>
      <c r="D40" s="38">
        <f>D39*D37</f>
        <v/>
      </c>
    </row>
    <row r="42" ht="15" customHeight="1" s="91">
      <c r="A42" s="61" t="inlineStr">
        <is>
          <t>TIER 3: Trader (NEW)</t>
        </is>
      </c>
    </row>
    <row r="43" ht="15" customHeight="1" s="91">
      <c r="A43" s="35" t="inlineStr">
        <is>
          <t>Monthly price per user</t>
        </is>
      </c>
      <c r="B43" s="47" t="n">
        <v>42</v>
      </c>
      <c r="C43" s="47" t="n">
        <v>42</v>
      </c>
      <c r="D43" s="47" t="n">
        <v>42</v>
      </c>
      <c r="E43" s="34" t="inlineStr">
        <is>
          <t>← Power-trader: 30 scans/day, 15 Marcus/day, 3 Ultra/month</t>
        </is>
      </c>
    </row>
    <row r="44" ht="15" customHeight="1" s="91">
      <c r="A44" s="35" t="inlineStr">
        <is>
          <t>% of users on this tier</t>
        </is>
      </c>
      <c r="B44" s="46" t="n">
        <v>0.15</v>
      </c>
      <c r="C44" s="46" t="n">
        <v>0.15</v>
      </c>
      <c r="D44" s="46" t="n">
        <v>0.15</v>
      </c>
    </row>
    <row r="45" ht="15" customHeight="1" s="91">
      <c r="A45" s="35" t="inlineStr">
        <is>
          <t>Users on this tier</t>
        </is>
      </c>
      <c r="B45" s="48">
        <f>1000*B44</f>
        <v/>
      </c>
      <c r="C45" s="48">
        <f>10000*C44</f>
        <v/>
      </c>
      <c r="D45" s="48">
        <f>100000*D44</f>
        <v/>
      </c>
    </row>
    <row r="46" ht="15" customHeight="1" s="91">
      <c r="A46" s="35" t="inlineStr">
        <is>
          <t>Tier 3 revenue / month</t>
        </is>
      </c>
      <c r="B46" s="38">
        <f>B45*B43</f>
        <v/>
      </c>
      <c r="C46" s="38">
        <f>C45*C43</f>
        <v/>
      </c>
      <c r="D46" s="38">
        <f>D45*D43</f>
        <v/>
      </c>
    </row>
    <row r="48" ht="24" customHeight="1" s="91">
      <c r="A48" s="161" t="inlineStr">
        <is>
          <t>TIER 4: Team</t>
        </is>
      </c>
    </row>
    <row r="49" ht="15" customHeight="1" s="91">
      <c r="A49" s="162" t="inlineStr">
        <is>
          <t>Monthly price per user</t>
        </is>
      </c>
      <c r="B49" s="163" t="n">
        <v>99</v>
      </c>
      <c r="C49" s="163" t="n">
        <v>99</v>
      </c>
      <c r="D49" s="163" t="n">
        <v>99</v>
      </c>
      <c r="E49" s="139" t="inlineStr">
        <is>
          <t>← Premium: API, unlimited scans, 50 Marcus/day</t>
        </is>
      </c>
    </row>
    <row r="50" ht="15" customHeight="1" s="91">
      <c r="A50" s="162" t="inlineStr">
        <is>
          <t>% of users on this tier</t>
        </is>
      </c>
      <c r="B50" s="164" t="n">
        <v>0.1</v>
      </c>
      <c r="C50" s="164" t="n">
        <v>0.1</v>
      </c>
      <c r="D50" s="164" t="n">
        <v>0.1</v>
      </c>
    </row>
    <row r="51">
      <c r="A51" s="139" t="inlineStr">
        <is>
          <t>Users on this tier</t>
        </is>
      </c>
      <c r="B51" s="139">
        <f>1000*B50</f>
        <v/>
      </c>
      <c r="C51" s="139">
        <f>10000*C50</f>
        <v/>
      </c>
      <c r="D51" s="139">
        <f>100000*D50</f>
        <v/>
      </c>
    </row>
    <row r="52" ht="15" customHeight="1" s="91">
      <c r="A52" s="165" t="inlineStr">
        <is>
          <t>Tier 4 revenue / month</t>
        </is>
      </c>
      <c r="B52" s="166">
        <f>B51*B49</f>
        <v/>
      </c>
      <c r="C52" s="166">
        <f>C51*C49</f>
        <v/>
      </c>
      <c r="D52" s="166">
        <f>D51*D49</f>
        <v/>
      </c>
    </row>
    <row r="53" ht="15" customHeight="1" s="91">
      <c r="A53" s="39" t="n"/>
      <c r="B53" s="52" t="n"/>
      <c r="C53" s="52" t="n"/>
      <c r="D53" s="52" t="n"/>
    </row>
    <row r="54" ht="15" customHeight="1" s="91">
      <c r="A54" s="167" t="inlineStr">
        <is>
          <t>📊  TOTAL REVENUE &amp; REVENUE SPLITS</t>
        </is>
      </c>
      <c r="B54" s="174" t="n"/>
      <c r="C54" s="174" t="n"/>
      <c r="D54" s="174" t="n"/>
      <c r="E54" s="174" t="n"/>
    </row>
    <row r="55">
      <c r="A55" s="133" t="inlineStr">
        <is>
          <t>TOTAL GROSS REVENUE / MONTH</t>
        </is>
      </c>
      <c r="B55" s="149">
        <f>B34+B40+B46+B52</f>
        <v/>
      </c>
      <c r="C55" s="149">
        <f>C34+C40+C46+C52</f>
        <v/>
      </c>
      <c r="D55" s="149">
        <f>D34+D40+D46+D52</f>
        <v/>
      </c>
    </row>
    <row r="56" ht="24" customHeight="1" s="91">
      <c r="A56" s="169" t="inlineStr">
        <is>
          <t>Blended ARPU (revenue ÷ total users)</t>
        </is>
      </c>
      <c r="B56" s="155">
        <f>IF(B55=0,0,B55/1000)</f>
        <v/>
      </c>
      <c r="C56" s="155">
        <f>IF(C55=0,0,C55/10000)</f>
        <v/>
      </c>
      <c r="D56" s="155">
        <f>IF(D55=0,0,D55/100000)</f>
        <v/>
      </c>
    </row>
    <row r="57" ht="15" customHeight="1" s="91">
      <c r="A57" s="35" t="n"/>
      <c r="B57" s="51" t="n"/>
      <c r="C57" s="51" t="n"/>
      <c r="D57" s="51" t="n"/>
    </row>
    <row r="58" ht="15" customHeight="1" s="91">
      <c r="A58" s="162" t="inlineStr">
        <is>
          <t>→  Operator / Developer (70%)</t>
        </is>
      </c>
      <c r="B58" s="170">
        <f>B55*$B$17</f>
        <v/>
      </c>
      <c r="C58" s="170">
        <f>C55*$B$17</f>
        <v/>
      </c>
      <c r="D58" s="170">
        <f>D55*$B$17</f>
        <v/>
      </c>
    </row>
    <row r="59" ht="15" customHeight="1" s="91">
      <c r="A59" s="162" t="inlineStr">
        <is>
          <t>→  $CRM Project Wallet (25%)</t>
        </is>
      </c>
      <c r="B59" s="170">
        <f>B55*$B$18</f>
        <v/>
      </c>
      <c r="C59" s="170">
        <f>C55*$B$18</f>
        <v/>
      </c>
      <c r="D59" s="170">
        <f>D55*$B$18</f>
        <v/>
      </c>
    </row>
    <row r="60" ht="15" customHeight="1" s="91">
      <c r="A60" s="162" t="inlineStr">
        <is>
          <t>→  Project Owner LLC (5%)</t>
        </is>
      </c>
      <c r="B60" s="170">
        <f>B55*$B$19</f>
        <v/>
      </c>
      <c r="C60" s="170">
        <f>C55*$B$19</f>
        <v/>
      </c>
      <c r="D60" s="170">
        <f>D55*$B$19</f>
        <v/>
      </c>
    </row>
    <row r="61" ht="15" customHeight="1" s="91">
      <c r="A61" s="35" t="n"/>
      <c r="B61" s="64" t="n"/>
      <c r="C61" s="64" t="n"/>
      <c r="D61" s="64" t="n"/>
    </row>
    <row r="62">
      <c r="A62" s="130" t="inlineStr">
        <is>
          <t>🏦  OPERATOR P&amp;L  —  Your 70% is pure take-home (costs paid from 25% wallet)</t>
        </is>
      </c>
    </row>
    <row r="63" ht="24" customHeight="1" s="91">
      <c r="A63" s="169" t="inlineStr">
        <is>
          <t>Operator take-home (70% share)</t>
        </is>
      </c>
      <c r="B63" s="157">
        <f>B58</f>
        <v/>
      </c>
      <c r="C63" s="157">
        <f>C58</f>
        <v/>
      </c>
      <c r="D63" s="157">
        <f>D58</f>
        <v/>
      </c>
    </row>
    <row r="64" ht="15" customHeight="1" s="91">
      <c r="A64" s="162" t="inlineStr">
        <is>
          <t>Costs deducted from operator share</t>
        </is>
      </c>
      <c r="B64" s="170" t="n">
        <v>0</v>
      </c>
      <c r="C64" s="170" t="n">
        <v>0</v>
      </c>
      <c r="D64" s="170" t="n">
        <v>0</v>
      </c>
    </row>
    <row r="65" ht="15" customHeight="1" s="91">
      <c r="A65" s="165" t="inlineStr">
        <is>
          <t>OPERATOR NET TAKE-HOME / MONTH</t>
        </is>
      </c>
      <c r="B65" s="166">
        <f>B63-B64</f>
        <v/>
      </c>
      <c r="C65" s="166">
        <f>C63-C64</f>
        <v/>
      </c>
      <c r="D65" s="166">
        <f>D63-D64</f>
        <v/>
      </c>
    </row>
    <row r="66" ht="15" customHeight="1" s="91">
      <c r="A66" s="162" t="inlineStr">
        <is>
          <t>Operator margin (always 100% — no costs assigned)</t>
        </is>
      </c>
      <c r="B66" s="171">
        <f>IF(B63=0,0,B65/B63)</f>
        <v/>
      </c>
      <c r="C66" s="171">
        <f>IF(C63=0,0,C65/C63)</f>
        <v/>
      </c>
      <c r="D66" s="171">
        <f>IF(D63=0,0,D65/D63)</f>
        <v/>
      </c>
    </row>
    <row r="67" ht="15" customHeight="1" s="91">
      <c r="A67" s="162" t="inlineStr">
        <is>
          <t>Operator take-home per user / month</t>
        </is>
      </c>
      <c r="B67" s="172">
        <f>B65/1000</f>
        <v/>
      </c>
      <c r="C67" s="172">
        <f>C65/10000</f>
        <v/>
      </c>
      <c r="D67" s="172">
        <f>D65/100000</f>
        <v/>
      </c>
    </row>
    <row r="69" ht="24" customHeight="1" s="91">
      <c r="A69" s="130" t="inlineStr">
        <is>
          <t>🪙  $CRM PROJECT WALLET — Covers Costs, Remainder → Buyback &amp; Community</t>
        </is>
      </c>
    </row>
    <row r="70" ht="15" customHeight="1" s="91">
      <c r="A70" s="162" t="inlineStr">
        <is>
          <t>$CRM Project Wallet gross / month (25%)</t>
        </is>
      </c>
      <c r="B70" s="170">
        <f>B59</f>
        <v/>
      </c>
      <c r="C70" s="170">
        <f>C59</f>
        <v/>
      </c>
      <c r="D70" s="170">
        <f>D59</f>
        <v/>
      </c>
    </row>
    <row r="71" ht="15" customHeight="1" s="91">
      <c r="A71" s="162" t="inlineStr">
        <is>
          <t>Infrastructure costs / month</t>
        </is>
      </c>
      <c r="B71" s="170">
        <f>B13</f>
        <v/>
      </c>
      <c r="C71" s="170">
        <f>C13</f>
        <v/>
      </c>
      <c r="D71" s="170">
        <f>D13</f>
        <v/>
      </c>
    </row>
    <row r="72" ht="15" customHeight="1" s="91">
      <c r="A72" s="162" t="inlineStr">
        <is>
          <t>Wallet surplus (buyback + community) / month</t>
        </is>
      </c>
      <c r="B72" s="170">
        <f>B70-B71</f>
        <v/>
      </c>
      <c r="C72" s="170">
        <f>C70-C71</f>
        <v/>
      </c>
      <c r="D72" s="170">
        <f>D70-D71</f>
        <v/>
      </c>
    </row>
    <row r="73" ht="15" customHeight="1" s="91">
      <c r="A73" s="162" t="inlineStr">
        <is>
          <t>Wallet surplus / year</t>
        </is>
      </c>
      <c r="B73" s="170">
        <f>B72*12</f>
        <v/>
      </c>
      <c r="C73" s="170">
        <f>C72*12</f>
        <v/>
      </c>
      <c r="D73" s="170">
        <f>D72*12</f>
        <v/>
      </c>
    </row>
    <row r="74" ht="15" customHeight="1" s="91">
      <c r="A74" s="162" t="inlineStr">
        <is>
          <t>Project Owner LLC / month (5%)</t>
        </is>
      </c>
      <c r="B74" s="38">
        <f>B60</f>
        <v/>
      </c>
      <c r="C74" s="38">
        <f>C60</f>
        <v/>
      </c>
      <c r="D74" s="38">
        <f>D60</f>
        <v/>
      </c>
    </row>
    <row r="75">
      <c r="A75" s="130" t="inlineStr">
        <is>
          <t>📅  ANNUAL PROJECTIONS</t>
        </is>
      </c>
    </row>
    <row r="76" ht="24" customHeight="1" s="91">
      <c r="A76" s="173" t="inlineStr">
        <is>
          <t>Annual Gross Revenue</t>
        </is>
      </c>
      <c r="B76" s="149">
        <f>B55*12</f>
        <v/>
      </c>
      <c r="C76" s="149">
        <f>C55*12</f>
        <v/>
      </c>
      <c r="D76" s="149">
        <f>D55*12</f>
        <v/>
      </c>
    </row>
    <row r="77" ht="15" customHeight="1" s="91">
      <c r="A77" s="139" t="inlineStr">
        <is>
          <t>Annual Total Costs</t>
        </is>
      </c>
      <c r="B77" s="157">
        <f>B13*12</f>
        <v/>
      </c>
      <c r="C77" s="157">
        <f>C13*12</f>
        <v/>
      </c>
      <c r="D77" s="157">
        <f>D13*12</f>
        <v/>
      </c>
    </row>
    <row r="78" ht="15" customHeight="1" s="91">
      <c r="A78" s="165" t="inlineStr">
        <is>
          <t>Annual Operator Take-Home</t>
        </is>
      </c>
      <c r="B78" s="166">
        <f>B65*12</f>
        <v/>
      </c>
      <c r="C78" s="166">
        <f>C65*12</f>
        <v/>
      </c>
      <c r="D78" s="166">
        <f>D65*12</f>
        <v/>
      </c>
      <c r="E78" s="34" t="n"/>
    </row>
    <row r="79" ht="15" customHeight="1" s="91">
      <c r="A79" s="162" t="inlineStr">
        <is>
          <t>Annual $CRM Wallet Surplus (after costs)</t>
        </is>
      </c>
      <c r="B79" s="170">
        <f>B72*12</f>
        <v/>
      </c>
      <c r="C79" s="170">
        <f>C72*12</f>
        <v/>
      </c>
      <c r="D79" s="170">
        <f>D72*12</f>
        <v/>
      </c>
      <c r="E79" s="34" t="n"/>
    </row>
    <row r="80" ht="15" customHeight="1" s="91">
      <c r="A80" s="162" t="inlineStr">
        <is>
          <t>Annual Project Owner LLC</t>
        </is>
      </c>
      <c r="B80" s="170">
        <f>B74*12</f>
        <v/>
      </c>
      <c r="C80" s="170">
        <f>C74*12</f>
        <v/>
      </c>
      <c r="D80" s="170">
        <f>D74*12</f>
        <v/>
      </c>
      <c r="E80" s="34" t="n"/>
    </row>
    <row r="82">
      <c r="A82" s="130" t="inlineStr">
        <is>
          <t>🎯  QUICK SENSITIVITY — Required price per user if only paid tiers exist</t>
        </is>
      </c>
    </row>
    <row r="83">
      <c r="A83" s="139" t="inlineStr">
        <is>
          <t>If ALL users paid a single flat rate (no free tier), what would the price need to be?</t>
        </is>
      </c>
    </row>
    <row r="84">
      <c r="A84" s="139" t="inlineStr">
        <is>
          <t>Breakeven flat rate (all users pay)</t>
        </is>
      </c>
      <c r="B84" s="155">
        <f>B24/1000</f>
        <v/>
      </c>
      <c r="C84" s="155">
        <f>C24/10000</f>
        <v/>
      </c>
      <c r="D84" s="155">
        <f>D24/100000</f>
        <v/>
      </c>
      <c r="E84" s="139" t="inlineStr">
        <is>
          <t>← Zero profit at this price</t>
        </is>
      </c>
    </row>
    <row r="85">
      <c r="A85" s="139" t="inlineStr">
        <is>
          <t>Target flat rate (30% operator margin)</t>
        </is>
      </c>
      <c r="B85" s="155">
        <f>B13/0.49/1000</f>
        <v/>
      </c>
      <c r="C85" s="155">
        <f>C13/0.49/10000</f>
        <v/>
      </c>
      <c r="D85" s="155">
        <f>D13/0.49/100000</f>
        <v/>
      </c>
      <c r="E85" s="139" t="inlineStr">
        <is>
          <t>← 30% operator margin after costs</t>
        </is>
      </c>
    </row>
    <row r="86">
      <c r="A86" s="139" t="inlineStr">
        <is>
          <t>Target flat rate (50% operator margin)</t>
        </is>
      </c>
      <c r="B86" s="155">
        <f>B13/0.35/1000</f>
        <v/>
      </c>
      <c r="C86" s="155">
        <f>C13/0.35/10000</f>
        <v/>
      </c>
      <c r="D86" s="155">
        <f>D13/0.35/100000</f>
        <v/>
      </c>
      <c r="E86" s="139" t="inlineStr">
        <is>
          <t>← 50% operator margin after costs</t>
        </is>
      </c>
    </row>
  </sheetData>
  <mergeCells count="10">
    <mergeCell ref="A69:E69"/>
    <mergeCell ref="A62:E62"/>
    <mergeCell ref="A16:E16"/>
    <mergeCell ref="A54:E54"/>
    <mergeCell ref="A82:E82"/>
    <mergeCell ref="A1:E1"/>
    <mergeCell ref="A75:E75"/>
    <mergeCell ref="A6:E6"/>
    <mergeCell ref="A22:E22"/>
    <mergeCell ref="A27:E27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2026-03-17T19:35:15Z</dcterms:created>
  <dcterms:modified xmlns:dcterms="http://purl.org/dc/terms/" xmlns:xsi="http://www.w3.org/2001/XMLSchema-instance" xsi:type="dcterms:W3CDTF">2026-03-19T22:27:34Z</dcterms:modified>
  <cp:lastModifiedBy>Amaro De Abreu</cp:lastModifiedBy>
  <cp:revision>0</cp:revision>
</cp:coreProperties>
</file>